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Credit Risk Project\"/>
    </mc:Choice>
  </mc:AlternateContent>
  <bookViews>
    <workbookView xWindow="0" yWindow="0" windowWidth="20490" windowHeight="8340" firstSheet="2" activeTab="6"/>
  </bookViews>
  <sheets>
    <sheet name="Shell " sheetId="1" r:id="rId1"/>
    <sheet name="BP" sheetId="3" r:id="rId2"/>
    <sheet name="Fianncial Analysis " sheetId="4" r:id="rId3"/>
    <sheet name="Risk Scorecard" sheetId="5" r:id="rId4"/>
    <sheet name="ECL" sheetId="7" r:id="rId5"/>
    <sheet name="Ratio Threshold Score Card" sheetId="6" r:id="rId6"/>
    <sheet name="Stress Test" sheetId="9" r:id="rId7"/>
    <sheet name=" Stress Test Assump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9" l="1"/>
  <c r="B19" i="9"/>
  <c r="B18" i="9"/>
  <c r="E17" i="9"/>
  <c r="D17" i="9"/>
  <c r="C17" i="9"/>
  <c r="B17" i="9"/>
  <c r="B15" i="9"/>
  <c r="C13" i="9"/>
  <c r="B13" i="9"/>
  <c r="B12" i="9"/>
  <c r="B16" i="9"/>
  <c r="B14" i="9"/>
  <c r="B29" i="7"/>
  <c r="B28" i="7"/>
  <c r="B27" i="7"/>
  <c r="B25" i="7"/>
  <c r="B24" i="7"/>
  <c r="B23" i="7"/>
  <c r="B22" i="7"/>
  <c r="C10" i="7"/>
  <c r="B10" i="7"/>
  <c r="E10" i="7"/>
  <c r="B8" i="7"/>
  <c r="B7" i="7"/>
  <c r="D6" i="9"/>
  <c r="F5" i="9"/>
  <c r="B5" i="9"/>
  <c r="B13" i="4"/>
  <c r="L27" i="9" l="1"/>
  <c r="K27" i="9"/>
  <c r="J27" i="9"/>
  <c r="I27" i="9"/>
  <c r="H27" i="9"/>
  <c r="L26" i="9"/>
  <c r="K26" i="9"/>
  <c r="J26" i="9"/>
  <c r="I26" i="9"/>
  <c r="H26" i="9"/>
  <c r="L25" i="9"/>
  <c r="K25" i="9"/>
  <c r="J25" i="9"/>
  <c r="I25" i="9"/>
  <c r="H25" i="9"/>
  <c r="L24" i="9"/>
  <c r="K24" i="9"/>
  <c r="J24" i="9"/>
  <c r="I24" i="9"/>
  <c r="H24" i="9"/>
  <c r="F24" i="9"/>
  <c r="E24" i="9"/>
  <c r="C24" i="9"/>
  <c r="L23" i="9"/>
  <c r="K23" i="9"/>
  <c r="J23" i="9"/>
  <c r="I23" i="9"/>
  <c r="H23" i="9"/>
  <c r="L22" i="9"/>
  <c r="K22" i="9"/>
  <c r="J22" i="9"/>
  <c r="I22" i="9"/>
  <c r="H22" i="9"/>
  <c r="F22" i="9"/>
  <c r="E22" i="9"/>
  <c r="C22" i="9"/>
  <c r="E18" i="9"/>
  <c r="E19" i="9"/>
  <c r="H21" i="9"/>
  <c r="F21" i="9"/>
  <c r="E21" i="9"/>
  <c r="C21" i="9"/>
  <c r="K19" i="9" l="1"/>
  <c r="K17" i="9"/>
  <c r="L17" i="9"/>
  <c r="J17" i="9"/>
  <c r="I17" i="9"/>
  <c r="I18" i="9" s="1"/>
  <c r="E4" i="9"/>
  <c r="L15" i="9"/>
  <c r="L18" i="9" s="1"/>
  <c r="K15" i="9"/>
  <c r="K18" i="9" s="1"/>
  <c r="J15" i="9"/>
  <c r="J19" i="9" s="1"/>
  <c r="I15" i="9"/>
  <c r="I19" i="9" s="1"/>
  <c r="J21" i="9" l="1"/>
  <c r="L19" i="9"/>
  <c r="J18" i="9"/>
  <c r="L21" i="9"/>
  <c r="I21" i="9"/>
  <c r="K21" i="9"/>
  <c r="H16" i="9"/>
  <c r="H17" i="9" s="1"/>
  <c r="H14" i="9"/>
  <c r="H15" i="9" s="1"/>
  <c r="L13" i="9"/>
  <c r="K13" i="9"/>
  <c r="J13" i="9"/>
  <c r="I13" i="9"/>
  <c r="H13" i="9"/>
  <c r="F13" i="9"/>
  <c r="E13" i="9"/>
  <c r="H12" i="9"/>
  <c r="F10" i="9"/>
  <c r="E10" i="9"/>
  <c r="D10" i="9"/>
  <c r="C10" i="9"/>
  <c r="F9" i="9"/>
  <c r="E9" i="9"/>
  <c r="D9" i="9"/>
  <c r="C9" i="9"/>
  <c r="F8" i="9"/>
  <c r="F17" i="9" s="1"/>
  <c r="E8" i="9"/>
  <c r="D8" i="9"/>
  <c r="C8" i="9"/>
  <c r="F7" i="9"/>
  <c r="F15" i="9" s="1"/>
  <c r="E7" i="9"/>
  <c r="E15" i="9" s="1"/>
  <c r="D7" i="9"/>
  <c r="C7" i="9"/>
  <c r="B10" i="9"/>
  <c r="B9" i="9"/>
  <c r="B8" i="9"/>
  <c r="B7" i="9"/>
  <c r="D15" i="9"/>
  <c r="C6" i="9"/>
  <c r="B6" i="9"/>
  <c r="E5" i="9"/>
  <c r="D5" i="9"/>
  <c r="C5" i="9"/>
  <c r="F4" i="9"/>
  <c r="D4" i="9"/>
  <c r="C4" i="9"/>
  <c r="C15" i="9" l="1"/>
  <c r="H18" i="9"/>
  <c r="H19" i="9"/>
  <c r="D19" i="9"/>
  <c r="D18" i="9"/>
  <c r="D21" i="9" s="1"/>
  <c r="D22" i="9" s="1"/>
  <c r="D24" i="9" s="1"/>
  <c r="F19" i="9"/>
  <c r="F18" i="9"/>
  <c r="D13" i="9"/>
  <c r="C28" i="7"/>
  <c r="B26" i="7"/>
  <c r="C26" i="7"/>
  <c r="C25" i="7"/>
  <c r="C27" i="7" s="1"/>
  <c r="C18" i="9" l="1"/>
  <c r="C19" i="9"/>
  <c r="C14" i="7"/>
  <c r="B14" i="7"/>
  <c r="I23" i="5"/>
  <c r="F23" i="5"/>
  <c r="C13" i="7"/>
  <c r="B13" i="7"/>
  <c r="E12" i="7"/>
  <c r="D12" i="7"/>
  <c r="C12" i="7"/>
  <c r="B12" i="7"/>
  <c r="E6" i="7"/>
  <c r="E7" i="7" s="1"/>
  <c r="D6" i="7"/>
  <c r="D7" i="7" s="1"/>
  <c r="C6" i="7"/>
  <c r="C7" i="7" s="1"/>
  <c r="B6" i="7"/>
  <c r="I22" i="5"/>
  <c r="F22" i="5"/>
  <c r="I21" i="5"/>
  <c r="F21" i="5"/>
  <c r="I18" i="5"/>
  <c r="I17" i="5"/>
  <c r="I15" i="5"/>
  <c r="I14" i="5"/>
  <c r="I12" i="5"/>
  <c r="I11" i="5"/>
  <c r="I9" i="5"/>
  <c r="I8" i="5"/>
  <c r="I6" i="5"/>
  <c r="I5" i="5"/>
  <c r="F18" i="5"/>
  <c r="F17" i="5"/>
  <c r="F15" i="5"/>
  <c r="F14" i="5"/>
  <c r="F12" i="5"/>
  <c r="F11" i="5"/>
  <c r="F9" i="5"/>
  <c r="F8" i="5"/>
  <c r="F6" i="5"/>
  <c r="F5" i="5"/>
  <c r="D18" i="5"/>
  <c r="E23" i="9" l="1"/>
  <c r="E25" i="9" s="1"/>
  <c r="E26" i="9" s="1"/>
  <c r="B22" i="9"/>
  <c r="B24" i="9" s="1"/>
  <c r="D23" i="9"/>
  <c r="D25" i="9" s="1"/>
  <c r="D26" i="9" s="1"/>
  <c r="D27" i="9" s="1"/>
  <c r="F23" i="9"/>
  <c r="F25" i="9" s="1"/>
  <c r="F26" i="9" s="1"/>
  <c r="B23" i="9"/>
  <c r="B25" i="9" s="1"/>
  <c r="C23" i="9"/>
  <c r="C25" i="9" s="1"/>
  <c r="C26" i="9" s="1"/>
  <c r="D8" i="7"/>
  <c r="D10" i="7" s="1"/>
  <c r="D17" i="7" s="1"/>
  <c r="E8" i="7"/>
  <c r="E17" i="7"/>
  <c r="B17" i="7"/>
  <c r="C8" i="7"/>
  <c r="C17" i="7" s="1"/>
  <c r="G18" i="5"/>
  <c r="F19" i="5"/>
  <c r="F20" i="5" s="1"/>
  <c r="I19" i="5"/>
  <c r="I20" i="5" s="1"/>
  <c r="D8" i="5"/>
  <c r="E8" i="5" s="1"/>
  <c r="H17" i="5"/>
  <c r="H15" i="5"/>
  <c r="H14" i="5"/>
  <c r="H12" i="5"/>
  <c r="H11" i="5"/>
  <c r="H9" i="5"/>
  <c r="H8" i="5"/>
  <c r="H6" i="5"/>
  <c r="H5" i="5"/>
  <c r="E18" i="5"/>
  <c r="E19" i="5" s="1"/>
  <c r="E17" i="5"/>
  <c r="E15" i="5"/>
  <c r="E14" i="5"/>
  <c r="E12" i="5"/>
  <c r="E11" i="5"/>
  <c r="E9" i="5"/>
  <c r="E6" i="5"/>
  <c r="E5" i="5"/>
  <c r="H18" i="5"/>
  <c r="H19" i="5" s="1"/>
  <c r="G17" i="5"/>
  <c r="G15" i="5"/>
  <c r="G14" i="5"/>
  <c r="G12" i="5"/>
  <c r="G11" i="5"/>
  <c r="G9" i="5"/>
  <c r="G8" i="5"/>
  <c r="G6" i="5"/>
  <c r="G5" i="5"/>
  <c r="D17" i="5"/>
  <c r="D15" i="5"/>
  <c r="D14" i="5"/>
  <c r="D12" i="5"/>
  <c r="D11" i="5"/>
  <c r="D9" i="5"/>
  <c r="D6" i="5"/>
  <c r="D5" i="5"/>
  <c r="B19" i="5"/>
  <c r="E27" i="9" l="1"/>
  <c r="F27" i="9"/>
  <c r="B26" i="9"/>
  <c r="B27" i="9" s="1"/>
  <c r="B18" i="7"/>
  <c r="C22" i="7"/>
  <c r="C18" i="7"/>
  <c r="D18" i="7"/>
  <c r="E18" i="7"/>
  <c r="C23" i="7"/>
  <c r="G12" i="4"/>
  <c r="F12" i="4"/>
  <c r="E12" i="4"/>
  <c r="G11" i="4"/>
  <c r="F11" i="4"/>
  <c r="E11" i="4"/>
  <c r="D11" i="4"/>
  <c r="G10" i="4"/>
  <c r="F10" i="4"/>
  <c r="E10" i="4"/>
  <c r="G7" i="4"/>
  <c r="F7" i="4"/>
  <c r="E7" i="4"/>
  <c r="B7" i="4"/>
  <c r="B12" i="4"/>
  <c r="C11" i="4"/>
  <c r="B11" i="4"/>
  <c r="D10" i="4"/>
  <c r="C10" i="4"/>
  <c r="B10" i="4"/>
  <c r="E19" i="4"/>
  <c r="B19" i="4"/>
  <c r="G19" i="4"/>
  <c r="F19" i="4"/>
  <c r="D19" i="4"/>
  <c r="C19" i="4"/>
  <c r="C27" i="9" l="1"/>
  <c r="C24" i="7"/>
  <c r="G23" i="4"/>
  <c r="F23" i="4"/>
  <c r="E23" i="4"/>
  <c r="D23" i="4"/>
  <c r="D24" i="3"/>
  <c r="C24" i="3"/>
  <c r="B24" i="3"/>
  <c r="B27" i="3"/>
  <c r="E34" i="4" l="1"/>
  <c r="D34" i="4"/>
  <c r="G34" i="4"/>
  <c r="F34" i="4"/>
  <c r="B34" i="4"/>
  <c r="C34" i="4"/>
  <c r="B7" i="3"/>
  <c r="C7" i="3"/>
  <c r="D7" i="3"/>
  <c r="G31" i="4"/>
  <c r="F31" i="4"/>
  <c r="G30" i="4"/>
  <c r="F30" i="4"/>
  <c r="E31" i="4"/>
  <c r="D31" i="4"/>
  <c r="E30" i="4"/>
  <c r="D30" i="4"/>
  <c r="B29" i="4"/>
  <c r="B6" i="4"/>
  <c r="G6" i="4"/>
  <c r="F6" i="4"/>
  <c r="E6" i="4"/>
  <c r="C31" i="4"/>
  <c r="B31" i="4"/>
  <c r="C30" i="4"/>
  <c r="B30" i="4"/>
  <c r="B17" i="4"/>
  <c r="D7" i="4"/>
  <c r="C7" i="4"/>
  <c r="D6" i="4"/>
  <c r="C6" i="4"/>
  <c r="D27" i="3"/>
  <c r="D27" i="1"/>
  <c r="B27" i="1"/>
  <c r="D30" i="3"/>
  <c r="G29" i="4" s="1"/>
  <c r="C30" i="3"/>
  <c r="F29" i="4" s="1"/>
  <c r="B30" i="3"/>
  <c r="B31" i="3" s="1"/>
  <c r="C27" i="3"/>
  <c r="C27" i="1"/>
  <c r="C31" i="1"/>
  <c r="B31" i="1"/>
  <c r="D30" i="1"/>
  <c r="D16" i="4" s="1"/>
  <c r="C30" i="1"/>
  <c r="C16" i="4" s="1"/>
  <c r="B30" i="1"/>
  <c r="B16" i="4" s="1"/>
  <c r="D11" i="3"/>
  <c r="C11" i="3"/>
  <c r="B11" i="3"/>
  <c r="G13" i="4"/>
  <c r="C31" i="3" l="1"/>
  <c r="B8" i="3"/>
  <c r="B9" i="3"/>
  <c r="D31" i="3"/>
  <c r="E16" i="4"/>
  <c r="F17" i="4"/>
  <c r="E29" i="4"/>
  <c r="C8" i="3"/>
  <c r="F22" i="4" s="1"/>
  <c r="C9" i="3"/>
  <c r="C10" i="3" s="1"/>
  <c r="F18" i="4" s="1"/>
  <c r="F13" i="4"/>
  <c r="E13" i="4"/>
  <c r="F16" i="4"/>
  <c r="G17" i="4"/>
  <c r="E17" i="4"/>
  <c r="D8" i="3"/>
  <c r="D9" i="3"/>
  <c r="G16" i="4"/>
  <c r="C17" i="4"/>
  <c r="C29" i="4"/>
  <c r="D31" i="1"/>
  <c r="D17" i="4"/>
  <c r="D29" i="4"/>
  <c r="C9" i="1"/>
  <c r="D7" i="1"/>
  <c r="D8" i="1" s="1"/>
  <c r="C7" i="1"/>
  <c r="C8" i="1" s="1"/>
  <c r="B7" i="1"/>
  <c r="B8" i="1" s="1"/>
  <c r="B10" i="3" l="1"/>
  <c r="E22" i="4"/>
  <c r="C13" i="3"/>
  <c r="C15" i="3" s="1"/>
  <c r="G22" i="4"/>
  <c r="D10" i="3"/>
  <c r="D22" i="4"/>
  <c r="B22" i="4"/>
  <c r="B10" i="1"/>
  <c r="C22" i="4"/>
  <c r="C10" i="1"/>
  <c r="D9" i="1"/>
  <c r="D10" i="1" s="1"/>
  <c r="C12" i="4"/>
  <c r="D12" i="4"/>
  <c r="B9" i="1"/>
  <c r="D13" i="3" l="1"/>
  <c r="D15" i="3" s="1"/>
  <c r="F25" i="4"/>
  <c r="F26" i="4"/>
  <c r="F24" i="4"/>
  <c r="G18" i="4"/>
  <c r="E18" i="4"/>
  <c r="B13" i="3"/>
  <c r="B15" i="3" s="1"/>
  <c r="D13" i="4"/>
  <c r="C13" i="4"/>
  <c r="D13" i="1"/>
  <c r="D15" i="1" s="1"/>
  <c r="D18" i="4"/>
  <c r="B23" i="4"/>
  <c r="B18" i="4"/>
  <c r="B13" i="1"/>
  <c r="B15" i="1" s="1"/>
  <c r="C13" i="1"/>
  <c r="C15" i="1" s="1"/>
  <c r="C23" i="4"/>
  <c r="C18" i="4"/>
  <c r="E25" i="4" l="1"/>
  <c r="E24" i="4"/>
  <c r="E26" i="4"/>
  <c r="G26" i="4"/>
  <c r="G24" i="4"/>
  <c r="G25" i="4"/>
  <c r="B25" i="4"/>
  <c r="B26" i="4"/>
  <c r="B24" i="4"/>
  <c r="C24" i="4"/>
  <c r="C25" i="4"/>
  <c r="C26" i="4"/>
  <c r="D25" i="4"/>
  <c r="D24" i="4"/>
  <c r="D26" i="4"/>
</calcChain>
</file>

<file path=xl/comments1.xml><?xml version="1.0" encoding="utf-8"?>
<comments xmlns="http://schemas.openxmlformats.org/spreadsheetml/2006/main">
  <authors>
    <author>USER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Purchases+ Manu. Prod. Exp.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Purchases+ Manu. Prod. Exp.</t>
        </r>
      </text>
    </comment>
  </commentList>
</comments>
</file>

<file path=xl/sharedStrings.xml><?xml version="1.0" encoding="utf-8"?>
<sst xmlns="http://schemas.openxmlformats.org/spreadsheetml/2006/main" count="383" uniqueCount="280">
  <si>
    <t>Income Statement</t>
  </si>
  <si>
    <t>Gross Profit</t>
  </si>
  <si>
    <t>Operating Expenses</t>
  </si>
  <si>
    <t>Interest Expense</t>
  </si>
  <si>
    <t>Tax</t>
  </si>
  <si>
    <t>Operating Profit/EBITDA</t>
  </si>
  <si>
    <t>Net Income</t>
  </si>
  <si>
    <t>Revenue</t>
  </si>
  <si>
    <t>Cost of sales</t>
  </si>
  <si>
    <t>Balance Sheet</t>
  </si>
  <si>
    <t>Total Assets</t>
  </si>
  <si>
    <t>Current Assets</t>
  </si>
  <si>
    <t>Inventory</t>
  </si>
  <si>
    <t>Trade Receivables</t>
  </si>
  <si>
    <t>Cash</t>
  </si>
  <si>
    <t>Total Equity</t>
  </si>
  <si>
    <t>Cash Flow</t>
  </si>
  <si>
    <t>Operating Cash Flow</t>
  </si>
  <si>
    <t>Cash flow from investing Activities</t>
  </si>
  <si>
    <t>Cash flow from Financing Activities</t>
  </si>
  <si>
    <t>Depreciation &amp; Amortization</t>
  </si>
  <si>
    <t>Income before Tax</t>
  </si>
  <si>
    <t>Trade &amp; Other Payables</t>
  </si>
  <si>
    <t>Total Debt Non Current</t>
  </si>
  <si>
    <t>Total Debt Current</t>
  </si>
  <si>
    <t>Total Liabilities</t>
  </si>
  <si>
    <t>Financial Statement SHELL PLC</t>
  </si>
  <si>
    <t xml:space="preserve">Financial Statement BP </t>
  </si>
  <si>
    <t>Current Ratio</t>
  </si>
  <si>
    <t xml:space="preserve">Ratios </t>
  </si>
  <si>
    <t>Liquidity Ratios</t>
  </si>
  <si>
    <t>Quick Ratio</t>
  </si>
  <si>
    <t>BP</t>
  </si>
  <si>
    <t>Efficiency Ratio</t>
  </si>
  <si>
    <t>Cash Conversion Cycle</t>
  </si>
  <si>
    <t>Leverage/ Solvency</t>
  </si>
  <si>
    <t>Debt to Equity</t>
  </si>
  <si>
    <t>Debt to Assets</t>
  </si>
  <si>
    <t>Net Debt to EBITDA</t>
  </si>
  <si>
    <t>Interest Coverage Ratio</t>
  </si>
  <si>
    <t>GP Margin</t>
  </si>
  <si>
    <t>EBITDA Margin</t>
  </si>
  <si>
    <t>NP Margin</t>
  </si>
  <si>
    <t>Return on Assets</t>
  </si>
  <si>
    <t>Return on Equity</t>
  </si>
  <si>
    <t>Op. Cash flow to Debt</t>
  </si>
  <si>
    <t>Free Cash Flow</t>
  </si>
  <si>
    <t>Capex to Revenue</t>
  </si>
  <si>
    <t>EBITDA Trend</t>
  </si>
  <si>
    <t>DSCR</t>
  </si>
  <si>
    <t>Total Current Liabilities</t>
  </si>
  <si>
    <t>Capex</t>
  </si>
  <si>
    <t>Net Debt</t>
  </si>
  <si>
    <t>Total Debt</t>
  </si>
  <si>
    <t>Total Non Current Liablities</t>
  </si>
  <si>
    <t>Profitability %</t>
  </si>
  <si>
    <t xml:space="preserve"> ($ in million)</t>
  </si>
  <si>
    <t>Income Statament</t>
  </si>
  <si>
    <t>SHELL PLC</t>
  </si>
  <si>
    <t xml:space="preserve">Inventory Days
</t>
  </si>
  <si>
    <t xml:space="preserve">Accounts Receivable  Days </t>
  </si>
  <si>
    <t xml:space="preserve">Accounts Payable Days </t>
  </si>
  <si>
    <t>Category</t>
  </si>
  <si>
    <t>Weight</t>
  </si>
  <si>
    <t>Ratio</t>
  </si>
  <si>
    <t>Shell 2025</t>
  </si>
  <si>
    <t>Score (1-5)</t>
  </si>
  <si>
    <t>Weighted Score</t>
  </si>
  <si>
    <t>BP 2025</t>
  </si>
  <si>
    <t>Score Table</t>
  </si>
  <si>
    <t>Excellent</t>
  </si>
  <si>
    <t>Good</t>
  </si>
  <si>
    <t>Satisfactory</t>
  </si>
  <si>
    <t>Weak</t>
  </si>
  <si>
    <t>Poor</t>
  </si>
  <si>
    <t>Risk Grade Tables</t>
  </si>
  <si>
    <t>Total Score</t>
  </si>
  <si>
    <t>Grade</t>
  </si>
  <si>
    <t>Stage</t>
  </si>
  <si>
    <t>80-100</t>
  </si>
  <si>
    <t>AAA-AA</t>
  </si>
  <si>
    <t>Stage 1</t>
  </si>
  <si>
    <t>65-79</t>
  </si>
  <si>
    <t>A-BBB</t>
  </si>
  <si>
    <t>50-64</t>
  </si>
  <si>
    <t>BB</t>
  </si>
  <si>
    <t>Stage 2</t>
  </si>
  <si>
    <t>35-49</t>
  </si>
  <si>
    <t>B</t>
  </si>
  <si>
    <t>Stage 2/3</t>
  </si>
  <si>
    <t>Below 35</t>
  </si>
  <si>
    <t>CCC-D</t>
  </si>
  <si>
    <t>Stage 3</t>
  </si>
  <si>
    <t>PD Table:</t>
  </si>
  <si>
    <t>PD</t>
  </si>
  <si>
    <t>Liquidity</t>
  </si>
  <si>
    <t>Leverage</t>
  </si>
  <si>
    <t>Net Debt/EBITDA</t>
  </si>
  <si>
    <t>Profitability</t>
  </si>
  <si>
    <t>ROE</t>
  </si>
  <si>
    <t>Debt Service</t>
  </si>
  <si>
    <t>Int. Coverage</t>
  </si>
  <si>
    <t xml:space="preserve">Efficiency </t>
  </si>
  <si>
    <t>OCF to Debt</t>
  </si>
  <si>
    <t>CCC</t>
  </si>
  <si>
    <t xml:space="preserve">Total </t>
  </si>
  <si>
    <t>Current Ratio:</t>
  </si>
  <si>
    <t>Quick Ratio:</t>
  </si>
  <si>
    <t>Debt to Equity:</t>
  </si>
  <si>
    <t>Net Debt/EBITDA:</t>
  </si>
  <si>
    <t>EBITDA Margin:</t>
  </si>
  <si>
    <t>ROE:</t>
  </si>
  <si>
    <t>DSCR:</t>
  </si>
  <si>
    <t>Interest Coverage:</t>
  </si>
  <si>
    <t>OCF to Debt:</t>
  </si>
  <si>
    <t>CCC (negative is good for oil &amp; gas):</t>
  </si>
  <si>
    <t xml:space="preserve"> 1.25–1.5x </t>
  </si>
  <si>
    <t>1.0–1.25x</t>
  </si>
  <si>
    <t xml:space="preserve"> 0.75–1.0x</t>
  </si>
  <si>
    <t xml:space="preserve">0.75–1.0x </t>
  </si>
  <si>
    <t>0.5–0.75x</t>
  </si>
  <si>
    <t>&gt;1.5x</t>
  </si>
  <si>
    <t>&lt; 0.75x</t>
  </si>
  <si>
    <t>&gt; 1.25x</t>
  </si>
  <si>
    <t>&lt; 0.5x</t>
  </si>
  <si>
    <t>&lt; 0.3x</t>
  </si>
  <si>
    <t xml:space="preserve">0.3–0.5x </t>
  </si>
  <si>
    <t>&gt; 1.0x</t>
  </si>
  <si>
    <t>&lt;0.5x</t>
  </si>
  <si>
    <t xml:space="preserve">0.5–1.0x </t>
  </si>
  <si>
    <t>1.0–2.0x</t>
  </si>
  <si>
    <t>2.0–3.0x</t>
  </si>
  <si>
    <t>&gt;3.0x</t>
  </si>
  <si>
    <t>&gt;25%</t>
  </si>
  <si>
    <t xml:space="preserve">20–25% </t>
  </si>
  <si>
    <t xml:space="preserve">15–20% </t>
  </si>
  <si>
    <t>10–15%</t>
  </si>
  <si>
    <t>&lt;10%</t>
  </si>
  <si>
    <t>&gt;15%</t>
  </si>
  <si>
    <t xml:space="preserve"> 10–15% </t>
  </si>
  <si>
    <t>5–10%</t>
  </si>
  <si>
    <t xml:space="preserve">1–5% </t>
  </si>
  <si>
    <t>&lt;1% or negative</t>
  </si>
  <si>
    <t xml:space="preserve">&gt; 3.0x </t>
  </si>
  <si>
    <t xml:space="preserve">2.0–3.0x </t>
  </si>
  <si>
    <t>1.5–2.0x</t>
  </si>
  <si>
    <t>1.0–1.5x</t>
  </si>
  <si>
    <t>&lt; 1.0x</t>
  </si>
  <si>
    <t xml:space="preserve">&gt;10x </t>
  </si>
  <si>
    <t>7–10x</t>
  </si>
  <si>
    <t xml:space="preserve">5–7x </t>
  </si>
  <si>
    <t>3–5x</t>
  </si>
  <si>
    <t>&lt; 3x</t>
  </si>
  <si>
    <t xml:space="preserve">&gt;0.6x </t>
  </si>
  <si>
    <t xml:space="preserve"> 0.4–0.6x </t>
  </si>
  <si>
    <t xml:space="preserve"> 0.2–0.4x</t>
  </si>
  <si>
    <t>0.1–0.2x</t>
  </si>
  <si>
    <t>&lt;0.1x</t>
  </si>
  <si>
    <t xml:space="preserve"> negative</t>
  </si>
  <si>
    <t>0–30 days</t>
  </si>
  <si>
    <t>&gt;30 days</t>
  </si>
  <si>
    <t>Risk Score (out of 100)</t>
  </si>
  <si>
    <t>Risk Grade</t>
  </si>
  <si>
    <t>IFRS 9 Stage</t>
  </si>
  <si>
    <t>Expected Credit Loss (ECL)</t>
  </si>
  <si>
    <t>Facility Type</t>
  </si>
  <si>
    <t>Facility Limit (USD)</t>
  </si>
  <si>
    <t>Utilisation %</t>
  </si>
  <si>
    <t>Drawn Amount</t>
  </si>
  <si>
    <t>Undrawn Amount</t>
  </si>
  <si>
    <t>LGD</t>
  </si>
  <si>
    <t>ECL USD M</t>
  </si>
  <si>
    <t>ECL % Facility</t>
  </si>
  <si>
    <t>Shell</t>
  </si>
  <si>
    <t xml:space="preserve">Non Funded </t>
  </si>
  <si>
    <t xml:space="preserve">Funded </t>
  </si>
  <si>
    <t>Facility Structure</t>
  </si>
  <si>
    <t>Non Funded Lines</t>
  </si>
  <si>
    <t xml:space="preserve">LC Sight </t>
  </si>
  <si>
    <t>USD in Million</t>
  </si>
  <si>
    <t>Utilisation</t>
  </si>
  <si>
    <t>Funded</t>
  </si>
  <si>
    <t>Term Loan (5 year)</t>
  </si>
  <si>
    <t>LC Sight</t>
  </si>
  <si>
    <t>Term Loan</t>
  </si>
  <si>
    <t>CCF (Basel III)</t>
  </si>
  <si>
    <t>Tenor</t>
  </si>
  <si>
    <t>5 years</t>
  </si>
  <si>
    <t>PD basis</t>
  </si>
  <si>
    <t>12-month</t>
  </si>
  <si>
    <t>12-month (Stage 1)</t>
  </si>
  <si>
    <t>1 year</t>
  </si>
  <si>
    <t>Facility</t>
  </si>
  <si>
    <t>Security</t>
  </si>
  <si>
    <t>Rationale</t>
  </si>
  <si>
    <t>Lien over shipping/import documents</t>
  </si>
  <si>
    <t>UCP 600 — bank controls documents until retirement</t>
  </si>
  <si>
    <t>Term Loan Shell</t>
  </si>
  <si>
    <t>Unsecured + Negative Pledge</t>
  </si>
  <si>
    <t>Investment grade AAA-AA, market standard</t>
  </si>
  <si>
    <t>Term Loan BP</t>
  </si>
  <si>
    <t>Unsecured + Negative Pledge + Financial Covenants</t>
  </si>
  <si>
    <t>A-BBB borderline — additional covenant protection appropriate</t>
  </si>
  <si>
    <t>LGD update</t>
  </si>
  <si>
    <t>Document lien reduces loss — bank controls title document</t>
  </si>
  <si>
    <t>Unsecured, investment grade, strong recovery expectation</t>
  </si>
  <si>
    <t>Unsecured, borderline grade, slightly higher loss assumption</t>
  </si>
  <si>
    <t>LC Sight Facility</t>
  </si>
  <si>
    <t>Glossary:</t>
  </si>
  <si>
    <t>Probability to Default</t>
  </si>
  <si>
    <t>ECL</t>
  </si>
  <si>
    <t>Expected Credit Loss</t>
  </si>
  <si>
    <t>Loss Given Default</t>
  </si>
  <si>
    <t>EAD</t>
  </si>
  <si>
    <t>CCF</t>
  </si>
  <si>
    <t>Credit Conversion Factor</t>
  </si>
  <si>
    <t>IFRS</t>
  </si>
  <si>
    <t>Note: Risk Grade Tables &amp; PD tables, references based on Moody's credit available on google.</t>
  </si>
  <si>
    <t>Key parameters (Assumptions)</t>
  </si>
  <si>
    <t>Exposure at Default</t>
  </si>
  <si>
    <t>International Financial Reporting Standard</t>
  </si>
  <si>
    <t>Total ECL Summary</t>
  </si>
  <si>
    <t>Total Funded ECL</t>
  </si>
  <si>
    <t>Total Non Funded ECL</t>
  </si>
  <si>
    <t>Total ECL</t>
  </si>
  <si>
    <t>Total Portfolio ECL</t>
  </si>
  <si>
    <t xml:space="preserve">Exposure Funded </t>
  </si>
  <si>
    <t>Exposure Non Funded</t>
  </si>
  <si>
    <t>Total Exposure</t>
  </si>
  <si>
    <t>ECL % of Total Exposure</t>
  </si>
  <si>
    <t>Section 1</t>
  </si>
  <si>
    <t>Macro Assumptions</t>
  </si>
  <si>
    <t>Oil Price ($/bbl)</t>
  </si>
  <si>
    <t>Revenue Change %</t>
  </si>
  <si>
    <t>Cost Change %</t>
  </si>
  <si>
    <t>Interest Rate Change (bps)</t>
  </si>
  <si>
    <t>Freight/OpEx Change %</t>
  </si>
  <si>
    <t>FX Hedge Coverage %</t>
  </si>
  <si>
    <t>Section 2</t>
  </si>
  <si>
    <t>Stressed Financials</t>
  </si>
  <si>
    <t>Base Revenue</t>
  </si>
  <si>
    <t>Stressed  Revenue</t>
  </si>
  <si>
    <t>Base EBITDA</t>
  </si>
  <si>
    <t>Stressed EBITDA</t>
  </si>
  <si>
    <t>Base Interest Expense</t>
  </si>
  <si>
    <t>Stressed Interest Expense</t>
  </si>
  <si>
    <t>Stressed DSCR</t>
  </si>
  <si>
    <t>Stressed ICR</t>
  </si>
  <si>
    <t>Stressed Scorecard Output</t>
  </si>
  <si>
    <t>Section 3</t>
  </si>
  <si>
    <t>Stressed Risk Score</t>
  </si>
  <si>
    <t>Stressed Risk Grade</t>
  </si>
  <si>
    <t>Stressed IFRS 9 Stage</t>
  </si>
  <si>
    <t>Stressed PD</t>
  </si>
  <si>
    <t>Stressed LGD</t>
  </si>
  <si>
    <t>Stressed ECL USDM</t>
  </si>
  <si>
    <t xml:space="preserve"> </t>
  </si>
  <si>
    <t>Stress Testing Macro Economic Scenario</t>
  </si>
  <si>
    <t>Base Case</t>
  </si>
  <si>
    <t>Scenario 1 High Oil</t>
  </si>
  <si>
    <t>Scenario 2 Low Oil</t>
  </si>
  <si>
    <t>Scenario 4 Combined Severe</t>
  </si>
  <si>
    <t xml:space="preserve">Scenario 1 </t>
  </si>
  <si>
    <t>High Oil — based on current Brent crude at $96/bbl with recent intraweek spike to $144/bbl driven by escalating Middle East geopolitical tensions and OPEC+ supply constraints. Scenario reflects sustained price at recent peak levels.</t>
  </si>
  <si>
    <t>Shell PLC</t>
  </si>
  <si>
    <t>ECL Change vs Base</t>
  </si>
  <si>
    <t>Revenue Change</t>
  </si>
  <si>
    <t>Scenario 3 Cost pressure</t>
  </si>
  <si>
    <t>Shell blended base LGD:</t>
  </si>
  <si>
    <t>LC: 420 × 20% = 84</t>
  </si>
  <si>
    <t>TL: 300 × 40% = 120</t>
  </si>
  <si>
    <t>Total exposure = 720</t>
  </si>
  <si>
    <r>
      <t xml:space="preserve">Blended LGD = (84+120)/720 = </t>
    </r>
    <r>
      <rPr>
        <b/>
        <sz val="11"/>
        <color theme="1"/>
        <rFont val="Calibri"/>
        <family val="2"/>
        <scheme val="minor"/>
      </rPr>
      <t>28.3%</t>
    </r>
  </si>
  <si>
    <t>BP blended base LGD:</t>
  </si>
  <si>
    <t>LC: 264 × 20% = 52.8</t>
  </si>
  <si>
    <t>TL: 200 × 45% = 90</t>
  </si>
  <si>
    <t>Total exposure = 464</t>
  </si>
  <si>
    <r>
      <t xml:space="preserve">Blended LGD = (52.8+90)/464 = </t>
    </r>
    <r>
      <rPr>
        <b/>
        <sz val="11"/>
        <color theme="1"/>
        <rFont val="Calibri"/>
        <family val="2"/>
        <scheme val="minor"/>
      </rPr>
      <t>30.8%</t>
    </r>
  </si>
  <si>
    <t>Under stress LGD increases by 5% per stage deterioration:</t>
  </si>
  <si>
    <t>Stage 1: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</si>
</sst>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0.000000000"/>
    <numFmt numFmtId="168" formatCode="0.0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rgb="FF14181F"/>
      <name val="Var(--font-mono)"/>
    </font>
    <font>
      <sz val="11"/>
      <color rgb="FF121212"/>
      <name val="Georgia"/>
      <family val="1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3" fontId="0" fillId="0" borderId="0" xfId="0" applyNumberFormat="1"/>
    <xf numFmtId="164" fontId="0" fillId="0" borderId="0" xfId="0" applyNumberFormat="1"/>
    <xf numFmtId="43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8" xfId="0" applyBorder="1"/>
    <xf numFmtId="164" fontId="0" fillId="0" borderId="9" xfId="1" applyNumberFormat="1" applyFont="1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2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5" fontId="0" fillId="0" borderId="1" xfId="2" applyNumberFormat="1" applyFont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43" fontId="0" fillId="0" borderId="1" xfId="1" applyNumberFormat="1" applyFont="1" applyBorder="1"/>
    <xf numFmtId="166" fontId="0" fillId="0" borderId="1" xfId="0" applyNumberForma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167" fontId="0" fillId="0" borderId="0" xfId="0" applyNumberFormat="1"/>
    <xf numFmtId="9" fontId="0" fillId="0" borderId="1" xfId="0" applyNumberFormat="1" applyBorder="1"/>
    <xf numFmtId="0" fontId="0" fillId="0" borderId="1" xfId="0" applyBorder="1" applyAlignment="1">
      <alignment horizontal="right"/>
    </xf>
    <xf numFmtId="9" fontId="0" fillId="0" borderId="1" xfId="2" applyFont="1" applyBorder="1"/>
    <xf numFmtId="43" fontId="0" fillId="0" borderId="1" xfId="0" applyNumberFormat="1" applyBorder="1"/>
    <xf numFmtId="2" fontId="0" fillId="0" borderId="1" xfId="2" applyNumberFormat="1" applyFont="1" applyBorder="1"/>
    <xf numFmtId="0" fontId="10" fillId="0" borderId="1" xfId="0" applyFont="1" applyBorder="1" applyAlignment="1">
      <alignment vertical="center"/>
    </xf>
    <xf numFmtId="2" fontId="0" fillId="0" borderId="9" xfId="0" applyNumberFormat="1" applyBorder="1"/>
    <xf numFmtId="0" fontId="0" fillId="5" borderId="8" xfId="0" applyFill="1" applyBorder="1"/>
    <xf numFmtId="9" fontId="0" fillId="5" borderId="1" xfId="0" applyNumberFormat="1" applyFill="1" applyBorder="1"/>
    <xf numFmtId="0" fontId="0" fillId="5" borderId="1" xfId="0" applyFill="1" applyBorder="1"/>
    <xf numFmtId="0" fontId="0" fillId="5" borderId="9" xfId="0" applyFill="1" applyBorder="1"/>
    <xf numFmtId="2" fontId="0" fillId="5" borderId="1" xfId="0" applyNumberFormat="1" applyFill="1" applyBorder="1"/>
    <xf numFmtId="2" fontId="0" fillId="5" borderId="9" xfId="0" applyNumberFormat="1" applyFill="1" applyBorder="1"/>
    <xf numFmtId="0" fontId="5" fillId="0" borderId="3" xfId="0" applyFont="1" applyBorder="1" applyAlignment="1">
      <alignment horizontal="center" vertical="justify" wrapText="1"/>
    </xf>
    <xf numFmtId="0" fontId="5" fillId="0" borderId="4" xfId="0" applyFont="1" applyBorder="1" applyAlignment="1">
      <alignment horizontal="center" vertical="justify" wrapText="1"/>
    </xf>
    <xf numFmtId="0" fontId="5" fillId="0" borderId="5" xfId="0" applyFont="1" applyBorder="1" applyAlignment="1">
      <alignment horizontal="center" vertical="justify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0" fillId="0" borderId="22" xfId="0" applyBorder="1"/>
    <xf numFmtId="0" fontId="0" fillId="0" borderId="23" xfId="0" applyBorder="1"/>
    <xf numFmtId="2" fontId="0" fillId="0" borderId="23" xfId="0" applyNumberFormat="1" applyBorder="1"/>
    <xf numFmtId="2" fontId="0" fillId="0" borderId="24" xfId="0" applyNumberForma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right"/>
    </xf>
    <xf numFmtId="0" fontId="0" fillId="0" borderId="18" xfId="0" applyFill="1" applyBorder="1"/>
    <xf numFmtId="0" fontId="0" fillId="0" borderId="19" xfId="0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1" xfId="0" applyNumberForma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0" fontId="7" fillId="6" borderId="3" xfId="0" applyFont="1" applyFill="1" applyBorder="1"/>
    <xf numFmtId="0" fontId="5" fillId="7" borderId="8" xfId="0" applyFont="1" applyFill="1" applyBorder="1"/>
    <xf numFmtId="0" fontId="5" fillId="7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8" fontId="0" fillId="0" borderId="0" xfId="2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7" fillId="8" borderId="33" xfId="0" applyFont="1" applyFill="1" applyBorder="1"/>
    <xf numFmtId="0" fontId="0" fillId="0" borderId="36" xfId="0" applyBorder="1"/>
    <xf numFmtId="0" fontId="0" fillId="0" borderId="37" xfId="0" applyBorder="1" applyAlignment="1">
      <alignment horizontal="center"/>
    </xf>
    <xf numFmtId="0" fontId="0" fillId="0" borderId="21" xfId="0" applyBorder="1"/>
    <xf numFmtId="0" fontId="0" fillId="0" borderId="25" xfId="0" applyBorder="1" applyAlignment="1">
      <alignment horizontal="center"/>
    </xf>
    <xf numFmtId="168" fontId="0" fillId="0" borderId="25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justify" wrapText="1"/>
    </xf>
    <xf numFmtId="0" fontId="11" fillId="9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vertical="center" wrapText="1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left"/>
    </xf>
    <xf numFmtId="43" fontId="0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8" borderId="34" xfId="0" applyFont="1" applyFill="1" applyBorder="1" applyAlignment="1">
      <alignment horizontal="center"/>
    </xf>
    <xf numFmtId="0" fontId="7" fillId="8" borderId="35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/>
    <xf numFmtId="0" fontId="5" fillId="0" borderId="1" xfId="0" applyFont="1" applyBorder="1" applyAlignment="1">
      <alignment horizontal="center" vertical="top" wrapText="1"/>
    </xf>
    <xf numFmtId="0" fontId="7" fillId="6" borderId="26" xfId="0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0" fontId="7" fillId="0" borderId="1" xfId="0" applyFont="1" applyFill="1" applyBorder="1" applyAlignment="1">
      <alignment vertical="top" wrapText="1"/>
    </xf>
    <xf numFmtId="0" fontId="7" fillId="0" borderId="1" xfId="0" applyFont="1" applyBorder="1" applyAlignme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7"/>
  <sheetViews>
    <sheetView topLeftCell="A3" workbookViewId="0">
      <selection activeCell="C26" sqref="C26"/>
    </sheetView>
  </sheetViews>
  <sheetFormatPr defaultRowHeight="15"/>
  <cols>
    <col min="1" max="1" width="33" customWidth="1"/>
    <col min="2" max="4" width="12.5703125" bestFit="1" customWidth="1"/>
    <col min="6" max="7" width="10.5703125" bestFit="1" customWidth="1"/>
  </cols>
  <sheetData>
    <row r="2" spans="1:8" ht="26.25">
      <c r="A2" s="110" t="s">
        <v>26</v>
      </c>
      <c r="B2" s="110"/>
      <c r="C2" s="110"/>
      <c r="D2" s="110"/>
    </row>
    <row r="3" spans="1:8" ht="15.75" thickBot="1">
      <c r="A3" s="114" t="s">
        <v>56</v>
      </c>
      <c r="B3" s="114"/>
      <c r="C3" s="114"/>
      <c r="D3" s="114"/>
    </row>
    <row r="4" spans="1:8">
      <c r="A4" s="6"/>
      <c r="B4" s="7">
        <v>2025</v>
      </c>
      <c r="C4" s="7">
        <v>2024</v>
      </c>
      <c r="D4" s="8">
        <v>2023</v>
      </c>
    </row>
    <row r="5" spans="1:8">
      <c r="A5" s="111" t="s">
        <v>57</v>
      </c>
      <c r="B5" s="112"/>
      <c r="C5" s="112"/>
      <c r="D5" s="113"/>
    </row>
    <row r="6" spans="1:8">
      <c r="A6" s="9" t="s">
        <v>7</v>
      </c>
      <c r="B6" s="5">
        <v>273731</v>
      </c>
      <c r="C6" s="5">
        <v>289029</v>
      </c>
      <c r="D6" s="10">
        <v>323183</v>
      </c>
    </row>
    <row r="7" spans="1:8">
      <c r="A7" s="9" t="s">
        <v>8</v>
      </c>
      <c r="B7" s="5">
        <f>177194+21898</f>
        <v>199092</v>
      </c>
      <c r="C7" s="5">
        <f>188120+23379</f>
        <v>211499</v>
      </c>
      <c r="D7" s="10">
        <f>212883+25240</f>
        <v>238123</v>
      </c>
    </row>
    <row r="8" spans="1:8">
      <c r="A8" s="9" t="s">
        <v>1</v>
      </c>
      <c r="B8" s="5">
        <f>B6-B7</f>
        <v>74639</v>
      </c>
      <c r="C8" s="5">
        <f>C6-C7</f>
        <v>77530</v>
      </c>
      <c r="D8" s="10">
        <f>D6-D7</f>
        <v>85060</v>
      </c>
    </row>
    <row r="9" spans="1:8">
      <c r="A9" s="9" t="s">
        <v>2</v>
      </c>
      <c r="B9" s="5">
        <f>(243975-B7-B11-B12)</f>
        <v>14913</v>
      </c>
      <c r="C9" s="5">
        <f>(259107-C7-C11-C12)</f>
        <v>15949</v>
      </c>
      <c r="D9" s="10">
        <f>(290556-D7-D11-D12)</f>
        <v>16470</v>
      </c>
      <c r="H9" s="1"/>
    </row>
    <row r="10" spans="1:8">
      <c r="A10" s="9" t="s">
        <v>5</v>
      </c>
      <c r="B10" s="5">
        <f>(B8-B9)</f>
        <v>59726</v>
      </c>
      <c r="C10" s="5">
        <f t="shared" ref="C10:D10" si="0">(C8-C9)</f>
        <v>61581</v>
      </c>
      <c r="D10" s="10">
        <f t="shared" si="0"/>
        <v>68590</v>
      </c>
      <c r="F10" s="1"/>
    </row>
    <row r="11" spans="1:8">
      <c r="A11" s="9" t="s">
        <v>3</v>
      </c>
      <c r="B11" s="5">
        <v>4671</v>
      </c>
      <c r="C11" s="5">
        <v>4787</v>
      </c>
      <c r="D11" s="10">
        <v>4673</v>
      </c>
      <c r="F11" s="2"/>
    </row>
    <row r="12" spans="1:8">
      <c r="A12" s="9" t="s">
        <v>20</v>
      </c>
      <c r="B12" s="5">
        <v>25299</v>
      </c>
      <c r="C12" s="5">
        <v>26872</v>
      </c>
      <c r="D12" s="10">
        <v>31290</v>
      </c>
      <c r="F12" s="2"/>
    </row>
    <row r="13" spans="1:8">
      <c r="A13" s="9" t="s">
        <v>21</v>
      </c>
      <c r="B13" s="5">
        <f>(B10-B11-B12)</f>
        <v>29756</v>
      </c>
      <c r="C13" s="5">
        <f t="shared" ref="C13:D13" si="1">(C10-C11-C12)</f>
        <v>29922</v>
      </c>
      <c r="D13" s="10">
        <f t="shared" si="1"/>
        <v>32627</v>
      </c>
      <c r="F13" s="2"/>
    </row>
    <row r="14" spans="1:8">
      <c r="A14" s="9" t="s">
        <v>4</v>
      </c>
      <c r="B14" s="5">
        <v>11637</v>
      </c>
      <c r="C14" s="5">
        <v>13401</v>
      </c>
      <c r="D14" s="10">
        <v>12991</v>
      </c>
    </row>
    <row r="15" spans="1:8">
      <c r="A15" s="9" t="s">
        <v>6</v>
      </c>
      <c r="B15" s="5">
        <f>B13-B14</f>
        <v>18119</v>
      </c>
      <c r="C15" s="5">
        <f t="shared" ref="C15:D15" si="2">C13-C14</f>
        <v>16521</v>
      </c>
      <c r="D15" s="10">
        <f t="shared" si="2"/>
        <v>19636</v>
      </c>
    </row>
    <row r="16" spans="1:8">
      <c r="A16" s="9"/>
      <c r="B16" s="5"/>
      <c r="C16" s="5"/>
      <c r="D16" s="10"/>
      <c r="F16" s="2"/>
      <c r="G16" s="2"/>
    </row>
    <row r="17" spans="1:7">
      <c r="A17" s="111" t="s">
        <v>9</v>
      </c>
      <c r="B17" s="112"/>
      <c r="C17" s="112"/>
      <c r="D17" s="113"/>
      <c r="F17" s="3"/>
      <c r="G17" s="2"/>
    </row>
    <row r="18" spans="1:7">
      <c r="A18" s="9" t="s">
        <v>10</v>
      </c>
      <c r="B18" s="5">
        <v>370350</v>
      </c>
      <c r="C18" s="5">
        <v>387609</v>
      </c>
      <c r="D18" s="10">
        <v>406270</v>
      </c>
      <c r="G18" s="3"/>
    </row>
    <row r="19" spans="1:7">
      <c r="A19" s="9" t="s">
        <v>11</v>
      </c>
      <c r="B19" s="5">
        <v>107173</v>
      </c>
      <c r="C19" s="5">
        <v>127926</v>
      </c>
      <c r="D19" s="10">
        <v>134115</v>
      </c>
    </row>
    <row r="20" spans="1:7">
      <c r="A20" s="9" t="s">
        <v>12</v>
      </c>
      <c r="B20" s="5">
        <v>22216</v>
      </c>
      <c r="C20" s="5">
        <v>23426</v>
      </c>
      <c r="D20" s="10">
        <v>26019</v>
      </c>
    </row>
    <row r="21" spans="1:7">
      <c r="A21" s="9" t="s">
        <v>13</v>
      </c>
      <c r="B21" s="5">
        <v>44597</v>
      </c>
      <c r="C21" s="5">
        <v>45860</v>
      </c>
      <c r="D21" s="10">
        <v>53273</v>
      </c>
    </row>
    <row r="22" spans="1:7">
      <c r="A22" s="9" t="s">
        <v>14</v>
      </c>
      <c r="B22" s="5">
        <v>30216</v>
      </c>
      <c r="C22" s="5">
        <v>39110</v>
      </c>
      <c r="D22" s="10">
        <v>38774</v>
      </c>
    </row>
    <row r="23" spans="1:7">
      <c r="A23" s="9" t="s">
        <v>23</v>
      </c>
      <c r="B23" s="5">
        <v>66515</v>
      </c>
      <c r="C23" s="5">
        <v>65448</v>
      </c>
      <c r="D23" s="10">
        <v>71610</v>
      </c>
    </row>
    <row r="24" spans="1:7">
      <c r="A24" s="9" t="s">
        <v>24</v>
      </c>
      <c r="B24" s="5">
        <v>9128</v>
      </c>
      <c r="C24" s="5">
        <v>11630</v>
      </c>
      <c r="D24" s="10">
        <v>9931</v>
      </c>
    </row>
    <row r="25" spans="1:7">
      <c r="A25" s="9" t="s">
        <v>22</v>
      </c>
      <c r="B25" s="5">
        <v>57770</v>
      </c>
      <c r="C25" s="5">
        <v>60693</v>
      </c>
      <c r="D25" s="10">
        <v>68237</v>
      </c>
    </row>
    <row r="26" spans="1:7">
      <c r="A26" s="9" t="s">
        <v>50</v>
      </c>
      <c r="B26" s="5">
        <v>82415</v>
      </c>
      <c r="C26" s="5">
        <v>95034</v>
      </c>
      <c r="D26" s="10">
        <v>95467</v>
      </c>
    </row>
    <row r="27" spans="1:7">
      <c r="A27" s="9" t="s">
        <v>54</v>
      </c>
      <c r="B27" s="5">
        <f>B28-B26</f>
        <v>112616</v>
      </c>
      <c r="C27" s="5">
        <f t="shared" ref="C27" si="3">C28-C26</f>
        <v>112407</v>
      </c>
      <c r="D27" s="10">
        <f>D28-D26</f>
        <v>122441</v>
      </c>
    </row>
    <row r="28" spans="1:7">
      <c r="A28" s="9" t="s">
        <v>25</v>
      </c>
      <c r="B28" s="5">
        <v>195031</v>
      </c>
      <c r="C28" s="5">
        <v>207441</v>
      </c>
      <c r="D28" s="10">
        <v>217908</v>
      </c>
    </row>
    <row r="29" spans="1:7">
      <c r="A29" s="9" t="s">
        <v>15</v>
      </c>
      <c r="B29" s="5">
        <v>175319</v>
      </c>
      <c r="C29" s="5">
        <v>180168</v>
      </c>
      <c r="D29" s="10">
        <v>188362</v>
      </c>
    </row>
    <row r="30" spans="1:7">
      <c r="A30" s="9" t="s">
        <v>53</v>
      </c>
      <c r="B30" s="5">
        <f>B23+B24</f>
        <v>75643</v>
      </c>
      <c r="C30" s="5">
        <f>C23+C24</f>
        <v>77078</v>
      </c>
      <c r="D30" s="10">
        <f>D23+D24</f>
        <v>81541</v>
      </c>
    </row>
    <row r="31" spans="1:7">
      <c r="A31" s="9" t="s">
        <v>52</v>
      </c>
      <c r="B31" s="5">
        <f>B30-B22</f>
        <v>45427</v>
      </c>
      <c r="C31" s="5">
        <f>C30-C22</f>
        <v>37968</v>
      </c>
      <c r="D31" s="10">
        <f>D30-D22</f>
        <v>42767</v>
      </c>
    </row>
    <row r="32" spans="1:7">
      <c r="A32" s="9"/>
      <c r="B32" s="5"/>
      <c r="C32" s="5"/>
      <c r="D32" s="10"/>
    </row>
    <row r="33" spans="1:4">
      <c r="A33" s="111" t="s">
        <v>16</v>
      </c>
      <c r="B33" s="112"/>
      <c r="C33" s="112"/>
      <c r="D33" s="113"/>
    </row>
    <row r="34" spans="1:4">
      <c r="A34" s="9" t="s">
        <v>17</v>
      </c>
      <c r="B34" s="5">
        <v>42863</v>
      </c>
      <c r="C34" s="5">
        <v>54687</v>
      </c>
      <c r="D34" s="10">
        <v>54191</v>
      </c>
    </row>
    <row r="35" spans="1:4">
      <c r="A35" s="9" t="s">
        <v>18</v>
      </c>
      <c r="B35" s="5">
        <v>-16811</v>
      </c>
      <c r="C35" s="5">
        <v>-15155</v>
      </c>
      <c r="D35" s="10">
        <v>-17734</v>
      </c>
    </row>
    <row r="36" spans="1:4">
      <c r="A36" s="9" t="s">
        <v>19</v>
      </c>
      <c r="B36" s="5">
        <v>-35812</v>
      </c>
      <c r="C36" s="5">
        <v>-38435</v>
      </c>
      <c r="D36" s="10">
        <v>-38235</v>
      </c>
    </row>
    <row r="37" spans="1:4" ht="15.75" thickBot="1">
      <c r="A37" s="11" t="s">
        <v>51</v>
      </c>
      <c r="B37" s="12">
        <v>20915</v>
      </c>
      <c r="C37" s="12">
        <v>21085</v>
      </c>
      <c r="D37" s="13">
        <v>24392</v>
      </c>
    </row>
  </sheetData>
  <mergeCells count="5">
    <mergeCell ref="A2:D2"/>
    <mergeCell ref="A17:D17"/>
    <mergeCell ref="A5:D5"/>
    <mergeCell ref="A33:D33"/>
    <mergeCell ref="A3:D3"/>
  </mergeCells>
  <pageMargins left="0.7" right="0.7" top="0.75" bottom="0.75" header="0.3" footer="0.3"/>
  <pageSetup paperSize="9" orientation="portrait" horizontalDpi="300" verticalDpi="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7"/>
  <sheetViews>
    <sheetView topLeftCell="A2" workbookViewId="0">
      <selection activeCell="D28" sqref="D28"/>
    </sheetView>
  </sheetViews>
  <sheetFormatPr defaultRowHeight="15"/>
  <cols>
    <col min="1" max="1" width="33" customWidth="1"/>
    <col min="2" max="4" width="11.5703125" bestFit="1" customWidth="1"/>
  </cols>
  <sheetData>
    <row r="2" spans="1:8" ht="26.25">
      <c r="A2" s="110" t="s">
        <v>27</v>
      </c>
      <c r="B2" s="110"/>
      <c r="C2" s="110"/>
      <c r="D2" s="110"/>
    </row>
    <row r="3" spans="1:8" ht="15.75" thickBot="1">
      <c r="A3" s="114" t="s">
        <v>56</v>
      </c>
      <c r="B3" s="114"/>
      <c r="C3" s="114"/>
      <c r="D3" s="114"/>
    </row>
    <row r="4" spans="1:8">
      <c r="A4" s="6"/>
      <c r="B4" s="7">
        <v>2025</v>
      </c>
      <c r="C4" s="7">
        <v>2024</v>
      </c>
      <c r="D4" s="8">
        <v>2023</v>
      </c>
    </row>
    <row r="5" spans="1:8">
      <c r="A5" s="111" t="s">
        <v>0</v>
      </c>
      <c r="B5" s="112"/>
      <c r="C5" s="112"/>
      <c r="D5" s="113"/>
    </row>
    <row r="6" spans="1:8">
      <c r="A6" s="9" t="s">
        <v>7</v>
      </c>
      <c r="B6" s="5">
        <v>192549</v>
      </c>
      <c r="C6" s="5">
        <v>194629</v>
      </c>
      <c r="D6" s="10">
        <v>213032</v>
      </c>
    </row>
    <row r="7" spans="1:8">
      <c r="A7" s="9" t="s">
        <v>8</v>
      </c>
      <c r="B7" s="5">
        <f>110640+25646</f>
        <v>136286</v>
      </c>
      <c r="C7" s="5">
        <f>113941+26584</f>
        <v>140525</v>
      </c>
      <c r="D7" s="10">
        <f>119307+25044</f>
        <v>144351</v>
      </c>
      <c r="F7" s="2"/>
      <c r="G7" s="2"/>
    </row>
    <row r="8" spans="1:8">
      <c r="A8" s="9" t="s">
        <v>1</v>
      </c>
      <c r="B8" s="5">
        <f>B6-B7</f>
        <v>56263</v>
      </c>
      <c r="C8" s="5">
        <f t="shared" ref="C8:D8" si="0">C6-C7</f>
        <v>54104</v>
      </c>
      <c r="D8" s="10">
        <f t="shared" si="0"/>
        <v>68681</v>
      </c>
      <c r="F8" s="2"/>
      <c r="G8" s="2"/>
      <c r="H8" s="1"/>
    </row>
    <row r="9" spans="1:8">
      <c r="A9" s="9" t="s">
        <v>2</v>
      </c>
      <c r="B9" s="5">
        <f>(B6-12642-B12-B7)</f>
        <v>25799</v>
      </c>
      <c r="C9" s="5">
        <f>(C6-11297-C12-C7)</f>
        <v>26185</v>
      </c>
      <c r="D9" s="10">
        <f>(D6-27348-D12-D7)</f>
        <v>25405</v>
      </c>
      <c r="F9" s="1"/>
      <c r="G9" s="2"/>
    </row>
    <row r="10" spans="1:8">
      <c r="A10" s="9" t="s">
        <v>5</v>
      </c>
      <c r="B10" s="5">
        <f>(B8-B9)</f>
        <v>30464</v>
      </c>
      <c r="C10" s="5">
        <f>(C8-C9)</f>
        <v>27919</v>
      </c>
      <c r="D10" s="10">
        <f>(D8-D9)</f>
        <v>43276</v>
      </c>
      <c r="F10" s="2"/>
      <c r="G10" s="2"/>
    </row>
    <row r="11" spans="1:8">
      <c r="A11" s="9" t="s">
        <v>3</v>
      </c>
      <c r="B11" s="5">
        <f>5106+(-210)</f>
        <v>4896</v>
      </c>
      <c r="C11" s="5">
        <f>4683+(-168)</f>
        <v>4515</v>
      </c>
      <c r="D11" s="10">
        <f>3840+(-241)</f>
        <v>3599</v>
      </c>
      <c r="F11" s="2"/>
      <c r="G11" s="2"/>
    </row>
    <row r="12" spans="1:8">
      <c r="A12" s="9" t="s">
        <v>20</v>
      </c>
      <c r="B12" s="5">
        <v>17822</v>
      </c>
      <c r="C12" s="5">
        <v>16622</v>
      </c>
      <c r="D12" s="10">
        <v>15928</v>
      </c>
      <c r="F12" s="2"/>
    </row>
    <row r="13" spans="1:8">
      <c r="A13" s="9" t="s">
        <v>21</v>
      </c>
      <c r="B13" s="5">
        <f>(B10-B11-B12)</f>
        <v>7746</v>
      </c>
      <c r="C13" s="5">
        <f t="shared" ref="C13:D13" si="1">(C10-C11-C12)</f>
        <v>6782</v>
      </c>
      <c r="D13" s="10">
        <f t="shared" si="1"/>
        <v>23749</v>
      </c>
      <c r="F13" s="2"/>
    </row>
    <row r="14" spans="1:8">
      <c r="A14" s="9" t="s">
        <v>4</v>
      </c>
      <c r="B14" s="5">
        <v>6451</v>
      </c>
      <c r="C14" s="5">
        <v>5553</v>
      </c>
      <c r="D14" s="10">
        <v>7869</v>
      </c>
      <c r="F14" s="2"/>
    </row>
    <row r="15" spans="1:8">
      <c r="A15" s="9" t="s">
        <v>6</v>
      </c>
      <c r="B15" s="5">
        <f>B13-B14</f>
        <v>1295</v>
      </c>
      <c r="C15" s="5">
        <f t="shared" ref="C15:D15" si="2">C13-C14</f>
        <v>1229</v>
      </c>
      <c r="D15" s="10">
        <f t="shared" si="2"/>
        <v>15880</v>
      </c>
    </row>
    <row r="16" spans="1:8">
      <c r="A16" s="9"/>
      <c r="B16" s="5"/>
      <c r="C16" s="5"/>
      <c r="D16" s="10"/>
    </row>
    <row r="17" spans="1:6">
      <c r="A17" s="111" t="s">
        <v>9</v>
      </c>
      <c r="B17" s="112"/>
      <c r="C17" s="112"/>
      <c r="D17" s="113"/>
    </row>
    <row r="18" spans="1:6">
      <c r="A18" s="9" t="s">
        <v>10</v>
      </c>
      <c r="B18" s="5">
        <v>278526</v>
      </c>
      <c r="C18" s="5">
        <v>282228</v>
      </c>
      <c r="D18" s="10">
        <v>280294</v>
      </c>
    </row>
    <row r="19" spans="1:6">
      <c r="A19" s="9" t="s">
        <v>11</v>
      </c>
      <c r="B19" s="5">
        <v>101786</v>
      </c>
      <c r="C19" s="5">
        <v>102834</v>
      </c>
      <c r="D19" s="10">
        <v>104146</v>
      </c>
    </row>
    <row r="20" spans="1:6">
      <c r="A20" s="9" t="s">
        <v>12</v>
      </c>
      <c r="B20" s="5">
        <v>22499</v>
      </c>
      <c r="C20" s="5">
        <v>23232</v>
      </c>
      <c r="D20" s="10">
        <v>22819</v>
      </c>
    </row>
    <row r="21" spans="1:6">
      <c r="A21" s="9" t="s">
        <v>13</v>
      </c>
      <c r="B21" s="5">
        <v>26014</v>
      </c>
      <c r="C21" s="5">
        <v>27127</v>
      </c>
      <c r="D21" s="10">
        <v>31123</v>
      </c>
    </row>
    <row r="22" spans="1:6">
      <c r="A22" s="9" t="s">
        <v>14</v>
      </c>
      <c r="B22" s="5">
        <v>36556</v>
      </c>
      <c r="C22" s="5">
        <v>39204</v>
      </c>
      <c r="D22" s="10">
        <v>33030</v>
      </c>
    </row>
    <row r="23" spans="1:6">
      <c r="A23" s="9" t="s">
        <v>23</v>
      </c>
      <c r="B23" s="5">
        <v>54602</v>
      </c>
      <c r="C23" s="5">
        <v>55073</v>
      </c>
      <c r="D23" s="10">
        <v>48670</v>
      </c>
    </row>
    <row r="24" spans="1:6">
      <c r="A24" s="9" t="s">
        <v>24</v>
      </c>
      <c r="B24" s="5">
        <f>2832+3356</f>
        <v>6188</v>
      </c>
      <c r="C24" s="5">
        <f>2660+4474</f>
        <v>7134</v>
      </c>
      <c r="D24" s="10">
        <f>2650+3284</f>
        <v>5934</v>
      </c>
    </row>
    <row r="25" spans="1:6">
      <c r="A25" s="9" t="s">
        <v>22</v>
      </c>
      <c r="B25" s="5">
        <v>56843</v>
      </c>
      <c r="C25" s="5">
        <v>58411</v>
      </c>
      <c r="D25" s="10">
        <v>61155</v>
      </c>
    </row>
    <row r="26" spans="1:6">
      <c r="A26" s="9" t="s">
        <v>50</v>
      </c>
      <c r="B26" s="5">
        <v>80581</v>
      </c>
      <c r="C26" s="5">
        <v>82241</v>
      </c>
      <c r="D26" s="10">
        <v>86078</v>
      </c>
    </row>
    <row r="27" spans="1:6">
      <c r="A27" s="9" t="s">
        <v>54</v>
      </c>
      <c r="B27" s="5">
        <f>B28-B26</f>
        <v>123945</v>
      </c>
      <c r="C27" s="5">
        <f>C28-C26</f>
        <v>121669</v>
      </c>
      <c r="D27" s="10">
        <f>D28-D26</f>
        <v>108723</v>
      </c>
      <c r="F27" s="1"/>
    </row>
    <row r="28" spans="1:6">
      <c r="A28" s="9" t="s">
        <v>25</v>
      </c>
      <c r="B28" s="5">
        <v>204526</v>
      </c>
      <c r="C28" s="5">
        <v>203910</v>
      </c>
      <c r="D28" s="10">
        <v>194801</v>
      </c>
    </row>
    <row r="29" spans="1:6">
      <c r="A29" s="9" t="s">
        <v>15</v>
      </c>
      <c r="B29" s="5">
        <v>74000</v>
      </c>
      <c r="C29" s="5">
        <v>78318</v>
      </c>
      <c r="D29" s="10">
        <v>85493</v>
      </c>
    </row>
    <row r="30" spans="1:6">
      <c r="A30" s="9" t="s">
        <v>53</v>
      </c>
      <c r="B30" s="5">
        <f>B23+B24</f>
        <v>60790</v>
      </c>
      <c r="C30" s="5">
        <f t="shared" ref="C30:D30" si="3">C23+C24</f>
        <v>62207</v>
      </c>
      <c r="D30" s="10">
        <f t="shared" si="3"/>
        <v>54604</v>
      </c>
    </row>
    <row r="31" spans="1:6">
      <c r="A31" s="9" t="s">
        <v>52</v>
      </c>
      <c r="B31" s="5">
        <f>B30-B22</f>
        <v>24234</v>
      </c>
      <c r="C31" s="5">
        <f t="shared" ref="C31:D31" si="4">C30-C22</f>
        <v>23003</v>
      </c>
      <c r="D31" s="10">
        <f t="shared" si="4"/>
        <v>21574</v>
      </c>
    </row>
    <row r="32" spans="1:6">
      <c r="A32" s="9"/>
      <c r="B32" s="5"/>
      <c r="C32" s="5"/>
      <c r="D32" s="10"/>
    </row>
    <row r="33" spans="1:4">
      <c r="A33" s="111" t="s">
        <v>16</v>
      </c>
      <c r="B33" s="112"/>
      <c r="C33" s="112"/>
      <c r="D33" s="113"/>
    </row>
    <row r="34" spans="1:4">
      <c r="A34" s="9" t="s">
        <v>17</v>
      </c>
      <c r="B34" s="5">
        <v>24493</v>
      </c>
      <c r="C34" s="5">
        <v>27297</v>
      </c>
      <c r="D34" s="10">
        <v>32039</v>
      </c>
    </row>
    <row r="35" spans="1:4">
      <c r="A35" s="9" t="s">
        <v>18</v>
      </c>
      <c r="B35" s="5">
        <v>-11504</v>
      </c>
      <c r="C35" s="5">
        <v>-13250</v>
      </c>
      <c r="D35" s="10">
        <v>-14872</v>
      </c>
    </row>
    <row r="36" spans="1:4">
      <c r="A36" s="9" t="s">
        <v>19</v>
      </c>
      <c r="B36" s="5">
        <v>-15880</v>
      </c>
      <c r="C36" s="5">
        <v>-7297</v>
      </c>
      <c r="D36" s="10">
        <v>-13359</v>
      </c>
    </row>
    <row r="37" spans="1:4" ht="15.75" thickBot="1">
      <c r="A37" s="11" t="s">
        <v>51</v>
      </c>
      <c r="B37" s="12">
        <v>14533</v>
      </c>
      <c r="C37" s="12">
        <v>16237</v>
      </c>
      <c r="D37" s="13">
        <v>16253</v>
      </c>
    </row>
  </sheetData>
  <mergeCells count="5">
    <mergeCell ref="A33:D33"/>
    <mergeCell ref="A2:D2"/>
    <mergeCell ref="A3:D3"/>
    <mergeCell ref="A5:D5"/>
    <mergeCell ref="A17:D17"/>
  </mergeCells>
  <pageMargins left="0.7" right="0.7" top="0.75" bottom="0.75" header="0.3" footer="0.3"/>
  <pageSetup paperSize="9" orientation="portrait" horizontalDpi="300" verticalDpi="0" copies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4"/>
  <sheetViews>
    <sheetView topLeftCell="A5" workbookViewId="0">
      <selection activeCell="E34" sqref="E34"/>
    </sheetView>
  </sheetViews>
  <sheetFormatPr defaultRowHeight="15"/>
  <cols>
    <col min="1" max="1" width="38.140625" customWidth="1"/>
    <col min="2" max="2" width="12.5703125" bestFit="1" customWidth="1"/>
    <col min="3" max="4" width="11.5703125" bestFit="1" customWidth="1"/>
    <col min="5" max="5" width="17" bestFit="1" customWidth="1"/>
    <col min="6" max="7" width="11.5703125" bestFit="1" customWidth="1"/>
  </cols>
  <sheetData>
    <row r="3" spans="1:7">
      <c r="A3" s="19" t="s">
        <v>29</v>
      </c>
      <c r="B3" s="115" t="s">
        <v>58</v>
      </c>
      <c r="C3" s="115"/>
      <c r="D3" s="115"/>
      <c r="E3" s="115" t="s">
        <v>32</v>
      </c>
      <c r="F3" s="115"/>
      <c r="G3" s="115"/>
    </row>
    <row r="4" spans="1:7">
      <c r="A4" s="4"/>
      <c r="B4" s="18">
        <v>2025</v>
      </c>
      <c r="C4" s="18">
        <v>2024</v>
      </c>
      <c r="D4" s="18">
        <v>2023</v>
      </c>
      <c r="E4" s="18">
        <v>2025</v>
      </c>
      <c r="F4" s="18">
        <v>2024</v>
      </c>
      <c r="G4" s="18">
        <v>2023</v>
      </c>
    </row>
    <row r="5" spans="1:7">
      <c r="A5" s="20" t="s">
        <v>30</v>
      </c>
      <c r="B5" s="4"/>
      <c r="C5" s="4"/>
      <c r="D5" s="4"/>
      <c r="E5" s="4"/>
      <c r="F5" s="4"/>
      <c r="G5" s="4"/>
    </row>
    <row r="6" spans="1:7">
      <c r="A6" s="4" t="s">
        <v>28</v>
      </c>
      <c r="B6" s="14">
        <f>('Shell '!B19/'Shell '!B26)</f>
        <v>1.3004064794030212</v>
      </c>
      <c r="C6" s="14">
        <f>('Shell '!C19/'Shell '!C26)</f>
        <v>1.3461077088200013</v>
      </c>
      <c r="D6" s="14">
        <f>('Shell '!D19/'Shell '!D26)</f>
        <v>1.4048309887186148</v>
      </c>
      <c r="E6" s="14">
        <f>(BP!B19/BP!B26)</f>
        <v>1.2631513632245814</v>
      </c>
      <c r="F6" s="14">
        <f>(BP!C19/BP!C26)</f>
        <v>1.2503982198660035</v>
      </c>
      <c r="G6" s="14">
        <f>(BP!D19/BP!D26)</f>
        <v>1.2099026464369524</v>
      </c>
    </row>
    <row r="7" spans="1:7">
      <c r="A7" s="4" t="s">
        <v>31</v>
      </c>
      <c r="B7" s="14">
        <f>('Shell '!B19-'Shell '!B20)/'Shell '!B26</f>
        <v>1.0308438997755263</v>
      </c>
      <c r="C7" s="14">
        <f>('Shell '!C19-'Shell '!C20)/'Shell '!C26</f>
        <v>1.0996064566365722</v>
      </c>
      <c r="D7" s="14">
        <f>('Shell '!D19-'Shell '!D20)/'Shell '!D26</f>
        <v>1.1322865492788083</v>
      </c>
      <c r="E7" s="14">
        <f>(BP!B19-BP!B20)/BP!B26</f>
        <v>0.98394162395601936</v>
      </c>
      <c r="F7" s="14">
        <f>(BP!C19-BP!C20)/BP!C26</f>
        <v>0.96791138240050578</v>
      </c>
      <c r="G7" s="14">
        <f>(BP!D19-BP!D20)/BP!D26</f>
        <v>0.94480587374241964</v>
      </c>
    </row>
    <row r="8" spans="1:7">
      <c r="A8" s="4"/>
      <c r="B8" s="14"/>
      <c r="C8" s="14"/>
      <c r="D8" s="14"/>
      <c r="E8" s="14"/>
      <c r="F8" s="14"/>
      <c r="G8" s="14"/>
    </row>
    <row r="9" spans="1:7">
      <c r="A9" s="20" t="s">
        <v>33</v>
      </c>
      <c r="B9" s="14"/>
      <c r="C9" s="14"/>
      <c r="D9" s="14"/>
      <c r="E9" s="14"/>
      <c r="F9" s="14"/>
      <c r="G9" s="14"/>
    </row>
    <row r="10" spans="1:7" ht="18.75" customHeight="1">
      <c r="A10" s="15" t="s">
        <v>59</v>
      </c>
      <c r="B10" s="14">
        <f>IFERROR(365/('Shell '!B7/(('Shell '!B20+'Shell '!C20)/2)),"-")</f>
        <v>41.838270749201378</v>
      </c>
      <c r="C10" s="14">
        <f>IFERROR(365/('Shell '!C7/(('Shell '!C20+'Shell '!D20)/2)),"-")</f>
        <v>42.665509056780415</v>
      </c>
      <c r="D10" s="14">
        <f>IFERROR(365/('Shell '!D7/(('Shell '!D20+'Shell '!E20)/2)),"-")</f>
        <v>19.941238351608202</v>
      </c>
      <c r="E10" s="14">
        <f>IFERROR(365/(BP!B7/((BP!B20+BP!C20)/2)),"-")</f>
        <v>61.238186607575244</v>
      </c>
      <c r="F10" s="14">
        <f>IFERROR(365/(BP!C7/((BP!C20+BP!D20)/2)),"-")</f>
        <v>59.80649350649351</v>
      </c>
      <c r="G10" s="14">
        <f>IFERROR(365/(BP!D7/((BP!D20+BP!E20)/2)),"-")</f>
        <v>28.849592313181063</v>
      </c>
    </row>
    <row r="11" spans="1:7">
      <c r="A11" s="15" t="s">
        <v>60</v>
      </c>
      <c r="B11" s="14">
        <f>IFERROR(365/('Shell '!B6/(('Shell '!B21+'Shell '!C21)/2)),"-")</f>
        <v>60.308852486565272</v>
      </c>
      <c r="C11" s="14">
        <f>IFERROR(365/('Shell '!C6/(('Shell '!C21+'Shell '!D21)/2)),"-")</f>
        <v>62.595007767386669</v>
      </c>
      <c r="D11" s="14">
        <f>IFERROR(365/('Shell '!D6/(('Shell '!D21+'Shell '!E21)/2)),"-")</f>
        <v>30.08302571608036</v>
      </c>
      <c r="E11" s="14">
        <f>IFERROR(365/(BP!B6/((BP!B21+BP!C21)/2)),"-")</f>
        <v>50.367607725825636</v>
      </c>
      <c r="F11" s="14">
        <f>IFERROR(365/(BP!C6/((BP!C21+BP!D21)/2)),"-")</f>
        <v>54.619943584974493</v>
      </c>
      <c r="G11" s="14">
        <f>IFERROR(365/(BP!D6/((BP!D21+BP!E21)/2)),"-")</f>
        <v>26.662414566825642</v>
      </c>
    </row>
    <row r="12" spans="1:7">
      <c r="A12" s="15" t="s">
        <v>61</v>
      </c>
      <c r="B12" s="14">
        <f>IFERROR(365/('Shell '!B7/(('Shell '!B25+'Shell '!C25)/2)),"-")</f>
        <v>108.590488316959</v>
      </c>
      <c r="C12" s="14">
        <f>(('Shell '!C25+'Shell '!D25)/2)/(('Shell '!C7))*365</f>
        <v>111.25218086137522</v>
      </c>
      <c r="D12" s="14">
        <f>(('Shell '!D25+'Shell '!E25)/2)/(('Shell '!D7))*365</f>
        <v>52.297562604200351</v>
      </c>
      <c r="E12" s="14">
        <f>IFERROR(365/(BP!B7/((BP!B25+BP!C25)/2)),"-")</f>
        <v>154.33613870830462</v>
      </c>
      <c r="F12" s="14">
        <f>IFERROR(365/(BP!C7/((BP!C25+BP!D25)/2)),"-")</f>
        <v>155.28051948051947</v>
      </c>
      <c r="G12" s="14">
        <f>IFERROR(365/(BP!D7/((BP!D25+BP!E25)/2)),"-")</f>
        <v>77.317008541679655</v>
      </c>
    </row>
    <row r="13" spans="1:7">
      <c r="A13" s="16" t="s">
        <v>34</v>
      </c>
      <c r="B13" s="14">
        <f>B10+B11-B12</f>
        <v>-6.44336508119234</v>
      </c>
      <c r="C13" s="14">
        <f t="shared" ref="C13:G13" si="0">C10+C11-C12</f>
        <v>-5.9916640372081389</v>
      </c>
      <c r="D13" s="14">
        <f t="shared" si="0"/>
        <v>-2.2732985365117884</v>
      </c>
      <c r="E13" s="14">
        <f>E10+E11-E12</f>
        <v>-42.730344374903737</v>
      </c>
      <c r="F13" s="14">
        <f t="shared" si="0"/>
        <v>-40.85408238905147</v>
      </c>
      <c r="G13" s="14">
        <f t="shared" si="0"/>
        <v>-21.805001661672947</v>
      </c>
    </row>
    <row r="14" spans="1:7">
      <c r="A14" s="4"/>
      <c r="B14" s="4"/>
      <c r="C14" s="4"/>
      <c r="D14" s="4"/>
      <c r="E14" s="4"/>
      <c r="F14" s="4"/>
      <c r="G14" s="4"/>
    </row>
    <row r="15" spans="1:7">
      <c r="A15" s="21" t="s">
        <v>35</v>
      </c>
      <c r="B15" s="4"/>
      <c r="C15" s="4"/>
      <c r="D15" s="4"/>
      <c r="E15" s="4"/>
      <c r="F15" s="4"/>
      <c r="G15" s="4"/>
    </row>
    <row r="16" spans="1:7">
      <c r="A16" s="4" t="s">
        <v>36</v>
      </c>
      <c r="B16" s="14">
        <f>'Shell '!B30/'Shell '!B29</f>
        <v>0.43145922575419665</v>
      </c>
      <c r="C16" s="14">
        <f>'Shell '!C30/'Shell '!C29</f>
        <v>0.42781182007903734</v>
      </c>
      <c r="D16" s="14">
        <f>'Shell '!D30/'Shell '!D29</f>
        <v>0.432895169938735</v>
      </c>
      <c r="E16" s="14">
        <f>BP!B30/BP!B29</f>
        <v>0.82148648648648648</v>
      </c>
      <c r="F16" s="14">
        <f>BP!C30/BP!C29</f>
        <v>0.79428739242575142</v>
      </c>
      <c r="G16" s="14">
        <f>BP!D30/BP!D29</f>
        <v>0.63869556571883079</v>
      </c>
    </row>
    <row r="17" spans="1:7">
      <c r="A17" s="4" t="s">
        <v>37</v>
      </c>
      <c r="B17" s="14">
        <f>'Shell '!B30/'Shell '!B18</f>
        <v>0.20424733360334818</v>
      </c>
      <c r="C17" s="14">
        <f>'Shell '!C30/'Shell '!C18</f>
        <v>0.19885503174590891</v>
      </c>
      <c r="D17" s="14">
        <f>'Shell '!D30/'Shell '!D18</f>
        <v>0.20070642676052872</v>
      </c>
      <c r="E17" s="14">
        <f>BP!B30/BP!B18</f>
        <v>0.21825610535461681</v>
      </c>
      <c r="F17" s="14">
        <f>BP!C30/BP!C18</f>
        <v>0.22041399152458296</v>
      </c>
      <c r="G17" s="14">
        <f>BP!D30/BP!D18</f>
        <v>0.1948097354920191</v>
      </c>
    </row>
    <row r="18" spans="1:7">
      <c r="A18" s="4" t="s">
        <v>38</v>
      </c>
      <c r="B18" s="14">
        <f>'Shell '!B31/'Shell '!B10</f>
        <v>0.76059002779359075</v>
      </c>
      <c r="C18" s="14">
        <f>'Shell '!C31/'Shell '!C10</f>
        <v>0.61655380718078623</v>
      </c>
      <c r="D18" s="14">
        <f>'Shell '!D31/'Shell '!D10</f>
        <v>0.62351654760169117</v>
      </c>
      <c r="E18" s="14">
        <f>BP!B31/BP!B10</f>
        <v>0.7954963235294118</v>
      </c>
      <c r="F18" s="14">
        <f>BP!C31/BP!C10</f>
        <v>0.82391919481356779</v>
      </c>
      <c r="G18" s="14">
        <f>BP!D31/BP!D10</f>
        <v>0.49852112025140954</v>
      </c>
    </row>
    <row r="19" spans="1:7">
      <c r="A19" s="4" t="s">
        <v>39</v>
      </c>
      <c r="B19" s="23">
        <f>('Shell '!B10/'Shell '!B11)</f>
        <v>12.786555341468636</v>
      </c>
      <c r="C19" s="23">
        <f>('Shell '!C10/'Shell '!C11)</f>
        <v>12.864215583872989</v>
      </c>
      <c r="D19" s="23">
        <f>('Shell '!D10/'Shell '!D11)</f>
        <v>14.677937085384121</v>
      </c>
      <c r="E19" s="23">
        <f>BP!B10/BP!B11</f>
        <v>6.2222222222222223</v>
      </c>
      <c r="F19" s="23">
        <f>BP!C10/BP!C11</f>
        <v>6.1836101882613512</v>
      </c>
      <c r="G19" s="23">
        <f>BP!D10/BP!D11</f>
        <v>12.024451236454571</v>
      </c>
    </row>
    <row r="20" spans="1:7">
      <c r="A20" s="4"/>
      <c r="B20" s="4"/>
      <c r="C20" s="4"/>
      <c r="D20" s="4"/>
      <c r="E20" s="4"/>
      <c r="F20" s="4"/>
      <c r="G20" s="4"/>
    </row>
    <row r="21" spans="1:7">
      <c r="A21" s="20" t="s">
        <v>55</v>
      </c>
      <c r="B21" s="4"/>
      <c r="C21" s="4"/>
      <c r="D21" s="4"/>
      <c r="E21" s="4"/>
      <c r="F21" s="4"/>
      <c r="G21" s="4"/>
    </row>
    <row r="22" spans="1:7">
      <c r="A22" s="4" t="s">
        <v>40</v>
      </c>
      <c r="B22" s="17">
        <f>'Shell '!B8/'Shell '!B6</f>
        <v>0.27267280651442477</v>
      </c>
      <c r="C22" s="17">
        <f>'Shell '!C8/'Shell '!C6</f>
        <v>0.26824297907822398</v>
      </c>
      <c r="D22" s="17">
        <f>'Shell '!D8/'Shell '!D6</f>
        <v>0.26319453684135613</v>
      </c>
      <c r="E22" s="17">
        <f>BP!B8/BP!B6</f>
        <v>0.2922009462526422</v>
      </c>
      <c r="F22" s="17">
        <f>BP!C8/BP!C6</f>
        <v>0.27798529509990805</v>
      </c>
      <c r="G22" s="17">
        <f>BP!D8/BP!D6</f>
        <v>0.32239757407337866</v>
      </c>
    </row>
    <row r="23" spans="1:7">
      <c r="A23" s="4" t="s">
        <v>41</v>
      </c>
      <c r="B23" s="17">
        <f>'Shell '!B10/'Shell '!B6</f>
        <v>0.21819231289112304</v>
      </c>
      <c r="C23" s="17">
        <f>'Shell '!C10/'Shell '!C6</f>
        <v>0.21306166509243016</v>
      </c>
      <c r="D23" s="17">
        <f>'Shell '!D10/'Shell '!D6</f>
        <v>0.21223269788324262</v>
      </c>
      <c r="E23" s="17">
        <f>BP!B10/BP!B6</f>
        <v>0.15821427273057767</v>
      </c>
      <c r="F23" s="17">
        <f>BP!C10/BP!C6</f>
        <v>0.14344727661345433</v>
      </c>
      <c r="G23" s="17">
        <f>BP!D10/BP!D6</f>
        <v>0.2031431897555297</v>
      </c>
    </row>
    <row r="24" spans="1:7">
      <c r="A24" s="4" t="s">
        <v>42</v>
      </c>
      <c r="B24" s="17">
        <f>'Shell '!B15/'Shell '!B6</f>
        <v>6.6192722051941502E-2</v>
      </c>
      <c r="C24" s="17">
        <f>'Shell '!C15/'Shell '!C6</f>
        <v>5.7160354151313535E-2</v>
      </c>
      <c r="D24" s="17">
        <f>'Shell '!D15/'Shell '!D6</f>
        <v>6.0758146313389008E-2</v>
      </c>
      <c r="E24" s="17">
        <f>BP!B15/BP!B6</f>
        <v>6.7255607663503835E-3</v>
      </c>
      <c r="F24" s="17">
        <f>BP!C15/BP!C6</f>
        <v>6.3145779919744748E-3</v>
      </c>
      <c r="G24" s="17">
        <f>BP!D15/BP!D6</f>
        <v>7.4542791693266733E-2</v>
      </c>
    </row>
    <row r="25" spans="1:7">
      <c r="A25" s="4" t="s">
        <v>43</v>
      </c>
      <c r="B25" s="17">
        <f>'Shell '!B15/'Shell '!B18</f>
        <v>4.892399081949507E-2</v>
      </c>
      <c r="C25" s="17">
        <f>'Shell '!C15/'Shell '!C18</f>
        <v>4.2622849314644398E-2</v>
      </c>
      <c r="D25" s="17">
        <f>'Shell '!D15/'Shell '!D18</f>
        <v>4.8332389790041105E-2</v>
      </c>
      <c r="E25" s="17">
        <f>BP!B15/BP!B18</f>
        <v>4.6494761709858327E-3</v>
      </c>
      <c r="F25" s="17">
        <f>BP!C15/BP!C18</f>
        <v>4.3546352594356335E-3</v>
      </c>
      <c r="G25" s="17">
        <f>BP!D15/BP!D18</f>
        <v>5.6654798176200706E-2</v>
      </c>
    </row>
    <row r="26" spans="1:7">
      <c r="A26" s="4" t="s">
        <v>44</v>
      </c>
      <c r="B26" s="17">
        <f>'Shell '!B15/'Shell '!B29</f>
        <v>0.1033487528448143</v>
      </c>
      <c r="C26" s="17">
        <f>'Shell '!C15/'Shell '!C29</f>
        <v>9.1697748767816709E-2</v>
      </c>
      <c r="D26" s="17">
        <f>'Shell '!D15/'Shell '!D29</f>
        <v>0.10424607935783226</v>
      </c>
      <c r="E26" s="17">
        <f>BP!B15/BP!B29</f>
        <v>1.7500000000000002E-2</v>
      </c>
      <c r="F26" s="17">
        <f>BP!C15/BP!C29</f>
        <v>1.5692433412497764E-2</v>
      </c>
      <c r="G26" s="17">
        <f>BP!D15/BP!D29</f>
        <v>0.18574620144339302</v>
      </c>
    </row>
    <row r="27" spans="1:7">
      <c r="A27" s="4"/>
      <c r="B27" s="4"/>
      <c r="C27" s="4"/>
      <c r="D27" s="4"/>
      <c r="E27" s="4"/>
      <c r="F27" s="4"/>
      <c r="G27" s="4"/>
    </row>
    <row r="28" spans="1:7">
      <c r="A28" s="20" t="s">
        <v>16</v>
      </c>
      <c r="B28" s="4"/>
      <c r="C28" s="4"/>
      <c r="D28" s="4"/>
      <c r="E28" s="4"/>
      <c r="F28" s="4"/>
      <c r="G28" s="4"/>
    </row>
    <row r="29" spans="1:7">
      <c r="A29" s="4" t="s">
        <v>45</v>
      </c>
      <c r="B29" s="14">
        <f>'Shell '!B34/'Shell '!B30</f>
        <v>0.56664859934164435</v>
      </c>
      <c r="C29" s="14">
        <f>'Shell '!C34/'Shell '!C30</f>
        <v>0.70950206284542927</v>
      </c>
      <c r="D29" s="14">
        <f>'Shell '!D34/'Shell '!D30</f>
        <v>0.66458591383475796</v>
      </c>
      <c r="E29" s="14">
        <f>BP!B34/BP!B30</f>
        <v>0.40291166310248394</v>
      </c>
      <c r="F29" s="14">
        <f>BP!C34/BP!C30</f>
        <v>0.43880913723535936</v>
      </c>
      <c r="G29" s="14">
        <f>BP!D34/BP!D30</f>
        <v>0.58675188630869535</v>
      </c>
    </row>
    <row r="30" spans="1:7">
      <c r="A30" s="4" t="s">
        <v>46</v>
      </c>
      <c r="B30" s="5">
        <f>'Shell '!B34-'Shell '!B37</f>
        <v>21948</v>
      </c>
      <c r="C30" s="5">
        <f>'Shell '!C34-'Shell '!C37</f>
        <v>33602</v>
      </c>
      <c r="D30" s="5">
        <f>'Shell '!D34-'Shell '!D37</f>
        <v>29799</v>
      </c>
      <c r="E30" s="5">
        <f>BP!B34-BP!B37</f>
        <v>9960</v>
      </c>
      <c r="F30" s="5">
        <f>BP!C34-BP!C37</f>
        <v>11060</v>
      </c>
      <c r="G30" s="5">
        <f>BP!D34-BP!D37</f>
        <v>15786</v>
      </c>
    </row>
    <row r="31" spans="1:7">
      <c r="A31" s="4" t="s">
        <v>47</v>
      </c>
      <c r="B31" s="14">
        <f>'Shell '!B37/'Shell '!B6</f>
        <v>7.6407129627261802E-2</v>
      </c>
      <c r="C31" s="14">
        <f>'Shell '!C37/'Shell '!C6</f>
        <v>7.295115715032055E-2</v>
      </c>
      <c r="D31" s="14">
        <f>'Shell '!D37/'Shell '!D6</f>
        <v>7.5474266901414983E-2</v>
      </c>
      <c r="E31" s="14">
        <f>BP!B37/BP!B6</f>
        <v>7.5476891596424803E-2</v>
      </c>
      <c r="F31" s="14">
        <f>BP!C37/BP!C6</f>
        <v>8.3425388816671719E-2</v>
      </c>
      <c r="G31" s="14">
        <f>BP!D37/BP!D6</f>
        <v>7.6293702354575832E-2</v>
      </c>
    </row>
    <row r="32" spans="1:7">
      <c r="A32" s="4"/>
      <c r="B32" s="4"/>
      <c r="C32" s="4"/>
      <c r="D32" s="4"/>
      <c r="E32" s="4"/>
      <c r="F32" s="4"/>
      <c r="G32" s="4"/>
    </row>
    <row r="33" spans="1:7">
      <c r="A33" s="4" t="s">
        <v>48</v>
      </c>
      <c r="B33" s="5">
        <v>59726</v>
      </c>
      <c r="C33" s="5">
        <v>61581</v>
      </c>
      <c r="D33" s="10">
        <v>68590</v>
      </c>
      <c r="E33" s="5">
        <v>30464</v>
      </c>
      <c r="F33" s="5">
        <v>27919</v>
      </c>
      <c r="G33" s="10">
        <v>43276</v>
      </c>
    </row>
    <row r="34" spans="1:7">
      <c r="A34" s="4" t="s">
        <v>49</v>
      </c>
      <c r="B34" s="22">
        <f>'Fianncial Analysis '!B33/('Shell '!B11+'Shell '!B24)</f>
        <v>4.328284658308573</v>
      </c>
      <c r="C34" s="22">
        <f>'Fianncial Analysis '!C33/('Shell '!C11+'Shell '!C24)</f>
        <v>3.7510507400864959</v>
      </c>
      <c r="D34" s="22">
        <f>'Fianncial Analysis '!D33/('Shell '!D11+'Shell '!D24)</f>
        <v>4.6966584497397976</v>
      </c>
      <c r="E34" s="14">
        <f>E33/(BP!B11+BP!B24)</f>
        <v>2.7484662576687118</v>
      </c>
      <c r="F34" s="14">
        <f>F33/(BP!C11+BP!C24)</f>
        <v>2.3966864108507169</v>
      </c>
      <c r="G34" s="14">
        <f>G33/(BP!D11+BP!D24)</f>
        <v>4.5395992866883459</v>
      </c>
    </row>
  </sheetData>
  <mergeCells count="2">
    <mergeCell ref="B3:D3"/>
    <mergeCell ref="E3:G3"/>
  </mergeCells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opLeftCell="A2" workbookViewId="0">
      <selection activeCell="L23" sqref="L23"/>
    </sheetView>
  </sheetViews>
  <sheetFormatPr defaultRowHeight="15"/>
  <cols>
    <col min="1" max="1" width="20.7109375" bestFit="1" customWidth="1"/>
    <col min="2" max="2" width="16.28515625" bestFit="1" customWidth="1"/>
    <col min="3" max="3" width="10.85546875" customWidth="1"/>
    <col min="4" max="4" width="12.7109375" customWidth="1"/>
    <col min="5" max="5" width="14.28515625" customWidth="1"/>
    <col min="6" max="6" width="15" customWidth="1"/>
    <col min="7" max="7" width="14.140625" customWidth="1"/>
    <col min="8" max="8" width="13" customWidth="1"/>
    <col min="9" max="9" width="15.140625" customWidth="1"/>
    <col min="10" max="10" width="11.5703125" bestFit="1" customWidth="1"/>
    <col min="15" max="15" width="16.7109375" customWidth="1"/>
  </cols>
  <sheetData>
    <row r="2" spans="1:16" ht="15.75" thickBot="1"/>
    <row r="3" spans="1:16" ht="30">
      <c r="A3" s="46" t="s">
        <v>62</v>
      </c>
      <c r="B3" s="47" t="s">
        <v>63</v>
      </c>
      <c r="C3" s="47" t="s">
        <v>64</v>
      </c>
      <c r="D3" s="47" t="s">
        <v>65</v>
      </c>
      <c r="E3" s="47" t="s">
        <v>66</v>
      </c>
      <c r="F3" s="47" t="s">
        <v>67</v>
      </c>
      <c r="G3" s="47" t="s">
        <v>68</v>
      </c>
      <c r="H3" s="47" t="s">
        <v>66</v>
      </c>
      <c r="I3" s="48" t="s">
        <v>67</v>
      </c>
      <c r="N3" s="116" t="s">
        <v>75</v>
      </c>
      <c r="O3" s="117"/>
      <c r="P3" s="118"/>
    </row>
    <row r="4" spans="1:16">
      <c r="A4" s="40" t="s">
        <v>95</v>
      </c>
      <c r="B4" s="41">
        <v>0.2</v>
      </c>
      <c r="C4" s="42"/>
      <c r="D4" s="42"/>
      <c r="E4" s="42"/>
      <c r="F4" s="42"/>
      <c r="G4" s="42"/>
      <c r="H4" s="42"/>
      <c r="I4" s="43"/>
      <c r="N4" s="25" t="s">
        <v>76</v>
      </c>
      <c r="O4" s="25" t="s">
        <v>77</v>
      </c>
      <c r="P4" s="25" t="s">
        <v>78</v>
      </c>
    </row>
    <row r="5" spans="1:16">
      <c r="A5" s="9"/>
      <c r="B5" s="4" t="s">
        <v>28</v>
      </c>
      <c r="C5" s="23"/>
      <c r="D5" s="14">
        <f>'Fianncial Analysis '!B6</f>
        <v>1.3004064794030212</v>
      </c>
      <c r="E5" s="4">
        <f>IF(D5&gt;=1.5,5,IF(D5&gt;=1.25,4,IF(D5&gt;=1,3,IF(D5&gt;=0.75,2,1))))</f>
        <v>4</v>
      </c>
      <c r="F5" s="14">
        <f>E5*(B4/2)</f>
        <v>0.4</v>
      </c>
      <c r="G5" s="14">
        <f>'Fianncial Analysis '!E6</f>
        <v>1.2631513632245814</v>
      </c>
      <c r="H5" s="4">
        <f>IF(G5&gt;=1.5,5,IF(G5&gt;=1.25,4,IF(G5&gt;=1,3,IF(G5&gt;=0.75,2,1))))</f>
        <v>4</v>
      </c>
      <c r="I5" s="39">
        <f>H5*(B4/2)</f>
        <v>0.4</v>
      </c>
      <c r="N5" s="26" t="s">
        <v>79</v>
      </c>
      <c r="O5" s="26" t="s">
        <v>80</v>
      </c>
      <c r="P5" s="26" t="s">
        <v>81</v>
      </c>
    </row>
    <row r="6" spans="1:16">
      <c r="A6" s="9"/>
      <c r="B6" s="4" t="s">
        <v>31</v>
      </c>
      <c r="C6" s="4"/>
      <c r="D6" s="14">
        <f>'Fianncial Analysis '!B7</f>
        <v>1.0308438997755263</v>
      </c>
      <c r="E6" s="4">
        <f>IF(D6&gt;=1.25,5,IF(D6&gt;=1,4,IF(D6&gt;=0.75,3,IF(D6&gt;=0.5,2,1))))</f>
        <v>4</v>
      </c>
      <c r="F6" s="14">
        <f>E6*(B4/2)</f>
        <v>0.4</v>
      </c>
      <c r="G6" s="14">
        <f>'Fianncial Analysis '!E7</f>
        <v>0.98394162395601936</v>
      </c>
      <c r="H6" s="4">
        <f>IF(G6&gt;=1.25,5,IF(G6&gt;=1,4,IF(G6&gt;=0.75,3,IF(G6&gt;=0.5,2,1))))</f>
        <v>3</v>
      </c>
      <c r="I6" s="39">
        <f>H6*(B4/2)</f>
        <v>0.30000000000000004</v>
      </c>
      <c r="N6" s="26" t="s">
        <v>82</v>
      </c>
      <c r="O6" s="26" t="s">
        <v>83</v>
      </c>
      <c r="P6" s="26" t="s">
        <v>81</v>
      </c>
    </row>
    <row r="7" spans="1:16">
      <c r="A7" s="40" t="s">
        <v>96</v>
      </c>
      <c r="B7" s="41">
        <v>0.25</v>
      </c>
      <c r="C7" s="42"/>
      <c r="D7" s="42"/>
      <c r="E7" s="42"/>
      <c r="F7" s="42"/>
      <c r="G7" s="42"/>
      <c r="H7" s="42"/>
      <c r="I7" s="43"/>
      <c r="N7" s="26" t="s">
        <v>84</v>
      </c>
      <c r="O7" s="26" t="s">
        <v>85</v>
      </c>
      <c r="P7" s="26" t="s">
        <v>86</v>
      </c>
    </row>
    <row r="8" spans="1:16">
      <c r="A8" s="9"/>
      <c r="B8" s="4" t="s">
        <v>36</v>
      </c>
      <c r="C8" s="4"/>
      <c r="D8" s="14">
        <f>'Fianncial Analysis '!B16</f>
        <v>0.43145922575419665</v>
      </c>
      <c r="E8" s="4">
        <f>IF(D8&lt;0.3,5,IF(D8&lt;0.5,4,IF(D8&lt;0.75,3,IF(D8&lt;1,2,1))))</f>
        <v>4</v>
      </c>
      <c r="F8" s="14">
        <f>(E8*(B7/2))</f>
        <v>0.5</v>
      </c>
      <c r="G8" s="14">
        <f>'Fianncial Analysis '!E16</f>
        <v>0.82148648648648648</v>
      </c>
      <c r="H8" s="4">
        <f>IF(G8&lt;0.3,5,IF(G8&lt;0.5,4,IF(G8&lt;0.75,3,IF(G8&lt;1,2,1))))</f>
        <v>2</v>
      </c>
      <c r="I8" s="39">
        <f>(H8*(B7/2))</f>
        <v>0.25</v>
      </c>
      <c r="J8" s="32"/>
      <c r="N8" s="26" t="s">
        <v>87</v>
      </c>
      <c r="O8" s="26" t="s">
        <v>88</v>
      </c>
      <c r="P8" s="26" t="s">
        <v>89</v>
      </c>
    </row>
    <row r="9" spans="1:16">
      <c r="A9" s="9"/>
      <c r="B9" s="4" t="s">
        <v>97</v>
      </c>
      <c r="C9" s="34"/>
      <c r="D9" s="14">
        <f>'Fianncial Analysis '!B18</f>
        <v>0.76059002779359075</v>
      </c>
      <c r="E9" s="4">
        <f>IF(D9&lt;0.5,5,IF(D9&lt;1,4,IF(D9&lt;2,3,IF(D9&lt;3,2,1))))</f>
        <v>4</v>
      </c>
      <c r="F9" s="14">
        <f>E9*(B7/2)</f>
        <v>0.5</v>
      </c>
      <c r="G9" s="14">
        <f>'Fianncial Analysis '!E18</f>
        <v>0.7954963235294118</v>
      </c>
      <c r="H9" s="4">
        <f>IF(G9&lt;0.5,5,IF(G9&lt;1,4,IF(G9&lt;2,3,IF(G9&lt;3,2,1))))</f>
        <v>4</v>
      </c>
      <c r="I9" s="39">
        <f>H9*(B7/2)</f>
        <v>0.5</v>
      </c>
      <c r="N9" s="26" t="s">
        <v>90</v>
      </c>
      <c r="O9" s="26" t="s">
        <v>91</v>
      </c>
      <c r="P9" s="26" t="s">
        <v>92</v>
      </c>
    </row>
    <row r="10" spans="1:16">
      <c r="A10" s="40" t="s">
        <v>98</v>
      </c>
      <c r="B10" s="41">
        <v>0.2</v>
      </c>
      <c r="C10" s="42"/>
      <c r="D10" s="42"/>
      <c r="E10" s="42"/>
      <c r="F10" s="44"/>
      <c r="G10" s="42"/>
      <c r="H10" s="42"/>
      <c r="I10" s="45"/>
    </row>
    <row r="11" spans="1:16">
      <c r="A11" s="9"/>
      <c r="B11" s="4" t="s">
        <v>41</v>
      </c>
      <c r="C11" s="4"/>
      <c r="D11" s="35">
        <f>'Fianncial Analysis '!B23</f>
        <v>0.21819231289112304</v>
      </c>
      <c r="E11" s="4">
        <f>IF(D11&gt;=0.25,5,IF(D11&gt;=0.2,4,IF(D11&gt;=0.15,3,IF(D11&gt;=0.1,2,1))))</f>
        <v>4</v>
      </c>
      <c r="F11" s="14">
        <f>(E11*(B10/2))</f>
        <v>0.4</v>
      </c>
      <c r="G11" s="17">
        <f>'Fianncial Analysis '!E23</f>
        <v>0.15821427273057767</v>
      </c>
      <c r="H11" s="4">
        <f>IF(G11&gt;=0.25,5,IF(G11&gt;=0.2,4,IF(G11&gt;=0.15,3,IF(G11&gt;=0.1,2,1))))</f>
        <v>3</v>
      </c>
      <c r="I11" s="39">
        <f>(H11*(B10/2))</f>
        <v>0.30000000000000004</v>
      </c>
      <c r="N11" s="116" t="s">
        <v>93</v>
      </c>
      <c r="O11" s="118"/>
    </row>
    <row r="12" spans="1:16">
      <c r="A12" s="9"/>
      <c r="B12" s="4" t="s">
        <v>99</v>
      </c>
      <c r="C12" s="4"/>
      <c r="D12" s="35">
        <f>'Fianncial Analysis '!B26</f>
        <v>0.1033487528448143</v>
      </c>
      <c r="E12" s="4">
        <f>IF(D12&gt;=0.15,5,IF(D12&gt;=0.1,4,IF(D12&gt;=0.05,3,IF(D12&gt;=0.01,2,1))))</f>
        <v>4</v>
      </c>
      <c r="F12" s="14">
        <f>(E12*(B10/2))</f>
        <v>0.4</v>
      </c>
      <c r="G12" s="17">
        <f>'Fianncial Analysis '!E26</f>
        <v>1.7500000000000002E-2</v>
      </c>
      <c r="H12" s="4">
        <f>IF(G12&gt;=0.15,5,IF(G12&gt;=0.1,4,IF(G12&gt;=0.05,3,IF(G12&gt;=0.01,2,1))))</f>
        <v>2</v>
      </c>
      <c r="I12" s="39">
        <f>(H12*(B10/2))</f>
        <v>0.2</v>
      </c>
      <c r="N12" s="25" t="s">
        <v>77</v>
      </c>
      <c r="O12" s="25" t="s">
        <v>94</v>
      </c>
    </row>
    <row r="13" spans="1:16">
      <c r="A13" s="40" t="s">
        <v>100</v>
      </c>
      <c r="B13" s="41">
        <v>0.25</v>
      </c>
      <c r="C13" s="42"/>
      <c r="D13" s="42"/>
      <c r="E13" s="42"/>
      <c r="F13" s="44"/>
      <c r="G13" s="42"/>
      <c r="H13" s="42"/>
      <c r="I13" s="45"/>
      <c r="N13" s="28" t="s">
        <v>80</v>
      </c>
      <c r="O13" s="29">
        <v>2.9999999999999997E-4</v>
      </c>
    </row>
    <row r="14" spans="1:16">
      <c r="A14" s="9"/>
      <c r="B14" s="4" t="s">
        <v>49</v>
      </c>
      <c r="C14" s="34"/>
      <c r="D14" s="36">
        <f>'Fianncial Analysis '!B34</f>
        <v>4.328284658308573</v>
      </c>
      <c r="E14" s="4">
        <f>IF(D14&gt;=3,5,IF(D14&gt;=2,4,IF(D14&gt;=1.5,3,IF(D14&gt;=1,2,1))))</f>
        <v>5</v>
      </c>
      <c r="F14" s="14">
        <f>(E14*(B13/2))</f>
        <v>0.625</v>
      </c>
      <c r="G14" s="23">
        <f>'Fianncial Analysis '!E34</f>
        <v>2.7484662576687118</v>
      </c>
      <c r="H14" s="4">
        <f>IF(G14&gt;=3,5,IF(G14&gt;=2,4,IF(G14&gt;=1.5,3,IF(G14&gt;=1,2,1))))</f>
        <v>4</v>
      </c>
      <c r="I14" s="39">
        <f>(H14*(B13/2))</f>
        <v>0.5</v>
      </c>
      <c r="N14" s="28" t="s">
        <v>83</v>
      </c>
      <c r="O14" s="29">
        <v>1.5E-3</v>
      </c>
    </row>
    <row r="15" spans="1:16">
      <c r="A15" s="9"/>
      <c r="B15" s="4" t="s">
        <v>101</v>
      </c>
      <c r="C15" s="4"/>
      <c r="D15" s="37">
        <f>'Fianncial Analysis '!B19</f>
        <v>12.786555341468636</v>
      </c>
      <c r="E15" s="4">
        <f>IF(D15&gt;=10,5,IF(D15&gt;=7,4,IF(D15&gt;=5,3,IF(D15&gt;=3,2,1))))</f>
        <v>5</v>
      </c>
      <c r="F15" s="14">
        <f>(E15*(B13/2))</f>
        <v>0.625</v>
      </c>
      <c r="G15" s="23">
        <f>'Fianncial Analysis '!E19</f>
        <v>6.2222222222222223</v>
      </c>
      <c r="H15" s="4">
        <f>IF(G15&gt;=10,5,IF(G15&gt;=7,4,IF(G15&gt;=5,3,IF(G15&gt;=3,2,1))))</f>
        <v>3</v>
      </c>
      <c r="I15" s="39">
        <f>(H15*(B13/2))</f>
        <v>0.375</v>
      </c>
      <c r="N15" s="28" t="s">
        <v>85</v>
      </c>
      <c r="O15" s="29">
        <v>0.02</v>
      </c>
    </row>
    <row r="16" spans="1:16">
      <c r="A16" s="40" t="s">
        <v>102</v>
      </c>
      <c r="B16" s="41">
        <v>0.1</v>
      </c>
      <c r="C16" s="42"/>
      <c r="D16" s="42"/>
      <c r="E16" s="42"/>
      <c r="F16" s="44"/>
      <c r="G16" s="42"/>
      <c r="H16" s="42"/>
      <c r="I16" s="45"/>
      <c r="N16" s="28" t="s">
        <v>88</v>
      </c>
      <c r="O16" s="29">
        <v>0.08</v>
      </c>
    </row>
    <row r="17" spans="1:15">
      <c r="A17" s="9"/>
      <c r="B17" s="4" t="s">
        <v>103</v>
      </c>
      <c r="C17" s="4"/>
      <c r="D17" s="14">
        <f>'Fianncial Analysis '!B29</f>
        <v>0.56664859934164435</v>
      </c>
      <c r="E17" s="38">
        <f>IF(D17&gt;=0.6,5,IF(D17&gt;=0.4,4,IF(D17&gt;=0.2,3,IF(D17&gt;=0.1,2,1))))</f>
        <v>4</v>
      </c>
      <c r="F17" s="14">
        <f>(E17*(B16/2))</f>
        <v>0.2</v>
      </c>
      <c r="G17" s="14">
        <f>'Fianncial Analysis '!E29</f>
        <v>0.40291166310248394</v>
      </c>
      <c r="H17" s="38">
        <f>IF(G17&gt;=0.6,5,IF(G17&gt;=0.4,4,IF(G17&gt;=0.2,3,IF(G17&gt;=0.1,2,1))))</f>
        <v>4</v>
      </c>
      <c r="I17" s="39">
        <f>(H17*(B16/2))</f>
        <v>0.2</v>
      </c>
      <c r="N17" s="28" t="s">
        <v>91</v>
      </c>
      <c r="O17" s="29">
        <v>0.2</v>
      </c>
    </row>
    <row r="18" spans="1:15">
      <c r="A18" s="9"/>
      <c r="B18" s="4" t="s">
        <v>104</v>
      </c>
      <c r="C18" s="4"/>
      <c r="D18" s="14">
        <f>'Fianncial Analysis '!B13</f>
        <v>-6.44336508119234</v>
      </c>
      <c r="E18" s="4">
        <f>IF(D18&lt;0,5,IF(D18&lt;=30,3,1))</f>
        <v>5</v>
      </c>
      <c r="F18" s="14">
        <f>(E18*(B16/2))</f>
        <v>0.25</v>
      </c>
      <c r="G18" s="14">
        <f>'Fianncial Analysis '!E13</f>
        <v>-42.730344374903737</v>
      </c>
      <c r="H18" s="4">
        <f>IF(G18&lt;0,5,IF(G18&lt;=30,3,1))</f>
        <v>5</v>
      </c>
      <c r="I18" s="39">
        <f>(H18*(B16/2))</f>
        <v>0.25</v>
      </c>
    </row>
    <row r="19" spans="1:15">
      <c r="A19" s="9" t="s">
        <v>105</v>
      </c>
      <c r="B19" s="33">
        <f>B4+B7+B10+B13+B16</f>
        <v>1</v>
      </c>
      <c r="C19" s="4"/>
      <c r="D19" s="4"/>
      <c r="E19" s="4">
        <f>SUM(E5:E18)</f>
        <v>43</v>
      </c>
      <c r="F19" s="14">
        <f>SUM(F5:F18)</f>
        <v>4.3</v>
      </c>
      <c r="G19" s="4"/>
      <c r="H19" s="4">
        <f>SUM(H5:H18)</f>
        <v>34</v>
      </c>
      <c r="I19" s="39">
        <f>SUM(I5:I18)</f>
        <v>3.2750000000000004</v>
      </c>
      <c r="N19" s="116" t="s">
        <v>69</v>
      </c>
      <c r="O19" s="118"/>
    </row>
    <row r="20" spans="1:15" ht="15.75" thickBot="1">
      <c r="A20" s="64" t="s">
        <v>161</v>
      </c>
      <c r="B20" s="65"/>
      <c r="C20" s="65"/>
      <c r="D20" s="65"/>
      <c r="E20" s="65"/>
      <c r="F20" s="66">
        <f>(F19/5)*100</f>
        <v>86</v>
      </c>
      <c r="G20" s="65"/>
      <c r="H20" s="65"/>
      <c r="I20" s="67">
        <f>(I19/5)*100</f>
        <v>65.5</v>
      </c>
      <c r="N20" s="24">
        <v>5</v>
      </c>
      <c r="O20" s="24" t="s">
        <v>70</v>
      </c>
    </row>
    <row r="21" spans="1:15">
      <c r="A21" s="49" t="s">
        <v>162</v>
      </c>
      <c r="B21" s="50"/>
      <c r="C21" s="50"/>
      <c r="D21" s="50"/>
      <c r="E21" s="50"/>
      <c r="F21" s="51" t="str">
        <f>IF(F20&gt;=80,"AAA-AA",IF(F20&gt;=65,"A-BBB",IF(F20&gt;=50,"BB",IF(F20&gt;=35,"B","CCC-D"))))</f>
        <v>AAA-AA</v>
      </c>
      <c r="G21" s="51"/>
      <c r="H21" s="51"/>
      <c r="I21" s="52" t="str">
        <f>IF(I20&gt;=80,"AAA-AA",IF(I20&gt;=65,"A-BBB",IF(I20&gt;=50,"BB",IF(I20&gt;=35,"B","CCC-D"))))</f>
        <v>A-BBB</v>
      </c>
      <c r="N21" s="24">
        <v>4</v>
      </c>
      <c r="O21" s="24" t="s">
        <v>71</v>
      </c>
    </row>
    <row r="22" spans="1:15">
      <c r="A22" s="70" t="s">
        <v>163</v>
      </c>
      <c r="B22" s="68"/>
      <c r="C22" s="68"/>
      <c r="D22" s="68"/>
      <c r="E22" s="68"/>
      <c r="F22" s="69" t="str">
        <f>IF(F20&gt;=65,"Stage 1",IF(F20&gt;=50,"Stage 2",IF(F20&gt;=35,"Stage 2/3","Stage 3")))</f>
        <v>Stage 1</v>
      </c>
      <c r="G22" s="69"/>
      <c r="H22" s="69"/>
      <c r="I22" s="71" t="str">
        <f>IF(I20&gt;=65,"Stage 1",IF(I20&gt;=50,"Stage 2",IF(I20&gt;=35,"Stage 2/3","Stage 3")))</f>
        <v>Stage 1</v>
      </c>
      <c r="N22" s="24">
        <v>3</v>
      </c>
      <c r="O22" s="24" t="s">
        <v>72</v>
      </c>
    </row>
    <row r="23" spans="1:15" ht="15.75" thickBot="1">
      <c r="A23" s="72" t="s">
        <v>94</v>
      </c>
      <c r="B23" s="73"/>
      <c r="C23" s="73"/>
      <c r="D23" s="73"/>
      <c r="E23" s="73"/>
      <c r="F23" s="74">
        <f>O13</f>
        <v>2.9999999999999997E-4</v>
      </c>
      <c r="G23" s="73"/>
      <c r="H23" s="73"/>
      <c r="I23" s="75">
        <f>O14</f>
        <v>1.5E-3</v>
      </c>
      <c r="N23" s="24">
        <v>2</v>
      </c>
      <c r="O23" s="24" t="s">
        <v>73</v>
      </c>
    </row>
    <row r="24" spans="1:15">
      <c r="N24" s="24">
        <v>1</v>
      </c>
      <c r="O24" s="24" t="s">
        <v>74</v>
      </c>
    </row>
  </sheetData>
  <mergeCells count="3">
    <mergeCell ref="N3:P3"/>
    <mergeCell ref="N11:O11"/>
    <mergeCell ref="N19:O19"/>
  </mergeCells>
  <pageMargins left="0.7" right="0.7" top="0.75" bottom="0.75" header="0.3" footer="0.3"/>
  <pageSetup paperSize="9" orientation="portrait" horizontalDpi="30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zoomScale="84" workbookViewId="0">
      <selection activeCell="B30" sqref="B30"/>
    </sheetView>
  </sheetViews>
  <sheetFormatPr defaultRowHeight="15"/>
  <cols>
    <col min="1" max="1" width="41.140625" customWidth="1"/>
    <col min="2" max="2" width="18.28515625" customWidth="1"/>
    <col min="3" max="3" width="16.85546875" customWidth="1"/>
    <col min="4" max="4" width="15.28515625" customWidth="1"/>
    <col min="5" max="5" width="15.7109375" customWidth="1"/>
    <col min="9" max="9" width="15.85546875" customWidth="1"/>
    <col min="10" max="10" width="27.28515625" customWidth="1"/>
    <col min="11" max="11" width="23.28515625" customWidth="1"/>
    <col min="12" max="12" width="27.85546875" customWidth="1"/>
  </cols>
  <sheetData>
    <row r="1" spans="1:12" ht="15.75" thickBot="1"/>
    <row r="2" spans="1:12">
      <c r="A2" s="80" t="s">
        <v>164</v>
      </c>
      <c r="B2" s="127" t="s">
        <v>174</v>
      </c>
      <c r="C2" s="128"/>
      <c r="D2" s="127" t="s">
        <v>175</v>
      </c>
      <c r="E2" s="129"/>
      <c r="I2" s="130" t="s">
        <v>176</v>
      </c>
      <c r="J2" s="131"/>
      <c r="K2" s="130" t="s">
        <v>179</v>
      </c>
      <c r="L2" s="131"/>
    </row>
    <row r="3" spans="1:12">
      <c r="A3" s="81"/>
      <c r="B3" s="77" t="s">
        <v>173</v>
      </c>
      <c r="C3" s="77" t="s">
        <v>32</v>
      </c>
      <c r="D3" s="77" t="s">
        <v>173</v>
      </c>
      <c r="E3" s="82" t="s">
        <v>32</v>
      </c>
      <c r="I3" s="132"/>
      <c r="J3" s="133"/>
      <c r="K3" s="59" t="s">
        <v>173</v>
      </c>
      <c r="L3" s="59" t="s">
        <v>32</v>
      </c>
    </row>
    <row r="4" spans="1:12">
      <c r="A4" s="9" t="s">
        <v>165</v>
      </c>
      <c r="B4" s="59" t="s">
        <v>207</v>
      </c>
      <c r="C4" s="59" t="s">
        <v>207</v>
      </c>
      <c r="D4" s="59" t="s">
        <v>184</v>
      </c>
      <c r="E4" s="83" t="s">
        <v>184</v>
      </c>
      <c r="I4" s="27" t="s">
        <v>177</v>
      </c>
      <c r="J4" s="4"/>
      <c r="K4" s="59"/>
      <c r="L4" s="59"/>
    </row>
    <row r="5" spans="1:12">
      <c r="A5" s="9" t="s">
        <v>166</v>
      </c>
      <c r="B5" s="59">
        <v>500</v>
      </c>
      <c r="C5" s="59">
        <v>300</v>
      </c>
      <c r="D5" s="59">
        <v>300</v>
      </c>
      <c r="E5" s="83">
        <v>200</v>
      </c>
      <c r="I5" s="132" t="s">
        <v>178</v>
      </c>
      <c r="J5" s="133"/>
      <c r="K5" s="59">
        <v>500</v>
      </c>
      <c r="L5" s="59">
        <v>300</v>
      </c>
    </row>
    <row r="6" spans="1:12">
      <c r="A6" s="9" t="s">
        <v>167</v>
      </c>
      <c r="B6" s="60">
        <f>K6</f>
        <v>0.8</v>
      </c>
      <c r="C6" s="60">
        <f>L6</f>
        <v>0.85</v>
      </c>
      <c r="D6" s="60">
        <f>K9</f>
        <v>1</v>
      </c>
      <c r="E6" s="84">
        <f>L9</f>
        <v>0.9</v>
      </c>
      <c r="I6" s="132" t="s">
        <v>180</v>
      </c>
      <c r="J6" s="133"/>
      <c r="K6" s="60">
        <v>0.8</v>
      </c>
      <c r="L6" s="60">
        <v>0.85</v>
      </c>
    </row>
    <row r="7" spans="1:12">
      <c r="A7" s="9" t="s">
        <v>168</v>
      </c>
      <c r="B7" s="59">
        <f>B5*B6</f>
        <v>400</v>
      </c>
      <c r="C7" s="59">
        <f>C5*C6</f>
        <v>255</v>
      </c>
      <c r="D7" s="59">
        <f t="shared" ref="D7" si="0">D5*D6</f>
        <v>300</v>
      </c>
      <c r="E7" s="83">
        <f>E5*E6</f>
        <v>180</v>
      </c>
      <c r="I7" s="134" t="s">
        <v>181</v>
      </c>
      <c r="J7" s="135"/>
      <c r="K7" s="59"/>
      <c r="L7" s="59"/>
    </row>
    <row r="8" spans="1:12">
      <c r="A8" s="9" t="s">
        <v>169</v>
      </c>
      <c r="B8" s="59">
        <f>B5-B7</f>
        <v>100</v>
      </c>
      <c r="C8" s="59">
        <f t="shared" ref="C8:E8" si="1">C5-C7</f>
        <v>45</v>
      </c>
      <c r="D8" s="59">
        <f t="shared" si="1"/>
        <v>0</v>
      </c>
      <c r="E8" s="83">
        <f t="shared" si="1"/>
        <v>20</v>
      </c>
      <c r="I8" s="132" t="s">
        <v>182</v>
      </c>
      <c r="J8" s="133"/>
      <c r="K8" s="59">
        <v>300</v>
      </c>
      <c r="L8" s="59">
        <v>200</v>
      </c>
    </row>
    <row r="9" spans="1:12">
      <c r="A9" s="9" t="s">
        <v>214</v>
      </c>
      <c r="B9" s="60">
        <v>0.2</v>
      </c>
      <c r="C9" s="60">
        <v>0.2</v>
      </c>
      <c r="D9" s="60">
        <v>1</v>
      </c>
      <c r="E9" s="84">
        <v>1</v>
      </c>
      <c r="I9" s="132" t="s">
        <v>180</v>
      </c>
      <c r="J9" s="133"/>
      <c r="K9" s="60">
        <v>1</v>
      </c>
      <c r="L9" s="60">
        <v>0.9</v>
      </c>
    </row>
    <row r="10" spans="1:12">
      <c r="A10" s="9" t="s">
        <v>213</v>
      </c>
      <c r="B10" s="59">
        <f>(B7+(B8*B9))</f>
        <v>420</v>
      </c>
      <c r="C10" s="59">
        <f>(C7+(C8*C9))</f>
        <v>264</v>
      </c>
      <c r="D10" s="59">
        <f t="shared" ref="C10:E10" si="2">(D7+(D8*D9))</f>
        <v>300</v>
      </c>
      <c r="E10" s="83">
        <f>(E7+(E8*E9))</f>
        <v>200</v>
      </c>
    </row>
    <row r="11" spans="1:12">
      <c r="A11" s="9"/>
      <c r="B11" s="59"/>
      <c r="C11" s="59"/>
      <c r="D11" s="59"/>
      <c r="E11" s="83"/>
      <c r="I11" s="53" t="s">
        <v>218</v>
      </c>
    </row>
    <row r="12" spans="1:12">
      <c r="A12" s="9" t="s">
        <v>163</v>
      </c>
      <c r="B12" s="59" t="str">
        <f>'Risk Scorecard'!F22</f>
        <v>Stage 1</v>
      </c>
      <c r="C12" s="59" t="str">
        <f>'Risk Scorecard'!I22</f>
        <v>Stage 1</v>
      </c>
      <c r="D12" s="59" t="str">
        <f>'Risk Scorecard'!F22</f>
        <v>Stage 1</v>
      </c>
      <c r="E12" s="83" t="str">
        <f>'Risk Scorecard'!I22</f>
        <v>Stage 1</v>
      </c>
      <c r="I12" s="4"/>
      <c r="J12" s="4"/>
      <c r="K12" s="4"/>
    </row>
    <row r="13" spans="1:12">
      <c r="A13" s="9" t="s">
        <v>162</v>
      </c>
      <c r="B13" s="59" t="str">
        <f>'Risk Scorecard'!F21</f>
        <v>AAA-AA</v>
      </c>
      <c r="C13" s="59" t="str">
        <f>'Risk Scorecard'!I21</f>
        <v>A-BBB</v>
      </c>
      <c r="D13" s="59" t="s">
        <v>80</v>
      </c>
      <c r="E13" s="83" t="s">
        <v>83</v>
      </c>
      <c r="I13" s="54"/>
      <c r="J13" s="54" t="s">
        <v>183</v>
      </c>
      <c r="K13" s="54" t="s">
        <v>184</v>
      </c>
    </row>
    <row r="14" spans="1:12">
      <c r="A14" s="9" t="s">
        <v>94</v>
      </c>
      <c r="B14" s="76">
        <f>'Risk Scorecard'!F23</f>
        <v>2.9999999999999997E-4</v>
      </c>
      <c r="C14" s="76">
        <f>'Risk Scorecard'!I23</f>
        <v>1.5E-3</v>
      </c>
      <c r="D14" s="76">
        <v>2.9999999999999997E-4</v>
      </c>
      <c r="E14" s="85">
        <v>1.5E-3</v>
      </c>
      <c r="I14" s="55" t="s">
        <v>185</v>
      </c>
      <c r="J14" s="61">
        <v>0.2</v>
      </c>
      <c r="K14" s="61">
        <v>1</v>
      </c>
    </row>
    <row r="15" spans="1:12">
      <c r="A15" s="9" t="s">
        <v>170</v>
      </c>
      <c r="B15" s="60">
        <v>0.2</v>
      </c>
      <c r="C15" s="60">
        <v>0.2</v>
      </c>
      <c r="D15" s="60">
        <v>0.4</v>
      </c>
      <c r="E15" s="84">
        <v>0.45</v>
      </c>
      <c r="I15" s="55" t="s">
        <v>170</v>
      </c>
      <c r="J15" s="61">
        <v>0.25</v>
      </c>
      <c r="K15" s="61">
        <v>0.4</v>
      </c>
    </row>
    <row r="16" spans="1:12">
      <c r="A16" s="9"/>
      <c r="B16" s="59"/>
      <c r="C16" s="59"/>
      <c r="D16" s="59"/>
      <c r="E16" s="83"/>
      <c r="I16" s="55" t="s">
        <v>186</v>
      </c>
      <c r="J16" s="62" t="s">
        <v>191</v>
      </c>
      <c r="K16" s="62" t="s">
        <v>187</v>
      </c>
    </row>
    <row r="17" spans="1:12">
      <c r="A17" s="9" t="s">
        <v>171</v>
      </c>
      <c r="B17" s="59">
        <f>B10*B14*B15</f>
        <v>2.52E-2</v>
      </c>
      <c r="C17" s="59">
        <f>C10*C14*C15</f>
        <v>7.9200000000000007E-2</v>
      </c>
      <c r="D17" s="59">
        <f>D10*D14*D15</f>
        <v>3.5999999999999997E-2</v>
      </c>
      <c r="E17" s="83">
        <f t="shared" ref="E17" si="3">E10*E14*E15</f>
        <v>0.13500000000000001</v>
      </c>
      <c r="I17" s="55" t="s">
        <v>188</v>
      </c>
      <c r="J17" s="62" t="s">
        <v>189</v>
      </c>
      <c r="K17" s="62" t="s">
        <v>190</v>
      </c>
    </row>
    <row r="18" spans="1:12" ht="15.75" thickBot="1">
      <c r="A18" s="11" t="s">
        <v>172</v>
      </c>
      <c r="B18" s="86">
        <f>B17/B5</f>
        <v>5.0399999999999999E-5</v>
      </c>
      <c r="C18" s="86">
        <f>C17/C5</f>
        <v>2.6400000000000002E-4</v>
      </c>
      <c r="D18" s="86">
        <f t="shared" ref="D18:E18" si="4">D17/D5</f>
        <v>1.1999999999999999E-4</v>
      </c>
      <c r="E18" s="87">
        <f t="shared" si="4"/>
        <v>6.7500000000000004E-4</v>
      </c>
    </row>
    <row r="19" spans="1:12">
      <c r="I19" s="56" t="s">
        <v>192</v>
      </c>
      <c r="J19" s="56" t="s">
        <v>193</v>
      </c>
      <c r="K19" s="126" t="s">
        <v>194</v>
      </c>
      <c r="L19" s="125"/>
    </row>
    <row r="20" spans="1:12" ht="35.25" customHeight="1" thickBot="1">
      <c r="I20" s="15" t="s">
        <v>183</v>
      </c>
      <c r="J20" s="15" t="s">
        <v>195</v>
      </c>
      <c r="K20" s="124" t="s">
        <v>196</v>
      </c>
      <c r="L20" s="125"/>
    </row>
    <row r="21" spans="1:12" ht="31.5" customHeight="1">
      <c r="A21" s="121" t="s">
        <v>221</v>
      </c>
      <c r="B21" s="122"/>
      <c r="C21" s="123"/>
      <c r="I21" s="15" t="s">
        <v>197</v>
      </c>
      <c r="J21" s="15" t="s">
        <v>198</v>
      </c>
      <c r="K21" s="124" t="s">
        <v>199</v>
      </c>
      <c r="L21" s="125"/>
    </row>
    <row r="22" spans="1:12" ht="47.25" customHeight="1">
      <c r="A22" s="93" t="s">
        <v>223</v>
      </c>
      <c r="B22" s="91">
        <f>B17</f>
        <v>2.52E-2</v>
      </c>
      <c r="C22" s="94">
        <f>C17</f>
        <v>7.9200000000000007E-2</v>
      </c>
      <c r="I22" s="15" t="s">
        <v>200</v>
      </c>
      <c r="J22" s="15" t="s">
        <v>201</v>
      </c>
      <c r="K22" s="124" t="s">
        <v>202</v>
      </c>
      <c r="L22" s="125"/>
    </row>
    <row r="23" spans="1:12">
      <c r="A23" s="95" t="s">
        <v>222</v>
      </c>
      <c r="B23" s="89">
        <f>D17</f>
        <v>3.5999999999999997E-2</v>
      </c>
      <c r="C23" s="96">
        <f>E17</f>
        <v>0.13500000000000001</v>
      </c>
    </row>
    <row r="24" spans="1:12">
      <c r="A24" s="95" t="s">
        <v>224</v>
      </c>
      <c r="B24" s="89">
        <f>B22+B23</f>
        <v>6.1199999999999997E-2</v>
      </c>
      <c r="C24" s="96">
        <f>C22+C23</f>
        <v>0.2142</v>
      </c>
      <c r="I24" s="63" t="s">
        <v>203</v>
      </c>
      <c r="J24" s="15"/>
      <c r="K24" s="124"/>
      <c r="L24" s="125"/>
    </row>
    <row r="25" spans="1:12">
      <c r="A25" s="95" t="s">
        <v>226</v>
      </c>
      <c r="B25" s="89">
        <f>D5</f>
        <v>300</v>
      </c>
      <c r="C25" s="96">
        <f>E5</f>
        <v>200</v>
      </c>
      <c r="I25" s="78" t="s">
        <v>192</v>
      </c>
      <c r="J25" s="78" t="s">
        <v>170</v>
      </c>
      <c r="K25" s="126" t="s">
        <v>194</v>
      </c>
      <c r="L25" s="138"/>
    </row>
    <row r="26" spans="1:12">
      <c r="A26" s="95" t="s">
        <v>227</v>
      </c>
      <c r="B26" s="89">
        <f>B5</f>
        <v>500</v>
      </c>
      <c r="C26" s="96">
        <f>C5</f>
        <v>300</v>
      </c>
      <c r="I26" s="57" t="s">
        <v>183</v>
      </c>
      <c r="J26" s="58">
        <v>0.2</v>
      </c>
      <c r="K26" s="124" t="s">
        <v>204</v>
      </c>
      <c r="L26" s="125"/>
    </row>
    <row r="27" spans="1:12" ht="30" customHeight="1">
      <c r="A27" s="95" t="s">
        <v>228</v>
      </c>
      <c r="B27" s="89">
        <f>B25+B26</f>
        <v>800</v>
      </c>
      <c r="C27" s="96">
        <f>C25+C26</f>
        <v>500</v>
      </c>
      <c r="I27" s="57" t="s">
        <v>197</v>
      </c>
      <c r="J27" s="58">
        <v>0.4</v>
      </c>
      <c r="K27" s="124" t="s">
        <v>205</v>
      </c>
      <c r="L27" s="125"/>
    </row>
    <row r="28" spans="1:12" ht="15.75" thickBot="1">
      <c r="A28" s="95" t="s">
        <v>229</v>
      </c>
      <c r="B28" s="90">
        <f>B24/B27</f>
        <v>7.6500000000000003E-5</v>
      </c>
      <c r="C28" s="97">
        <f>C24/C27</f>
        <v>4.284E-4</v>
      </c>
      <c r="I28" s="57" t="s">
        <v>200</v>
      </c>
      <c r="J28" s="58">
        <v>0.45</v>
      </c>
      <c r="K28" s="124" t="s">
        <v>206</v>
      </c>
      <c r="L28" s="125"/>
    </row>
    <row r="29" spans="1:12" ht="15.75" thickBot="1">
      <c r="A29" s="92" t="s">
        <v>225</v>
      </c>
      <c r="B29" s="119">
        <f>B24+C24</f>
        <v>0.27539999999999998</v>
      </c>
      <c r="C29" s="120"/>
    </row>
    <row r="30" spans="1:12">
      <c r="I30" s="79" t="s">
        <v>208</v>
      </c>
      <c r="J30" s="4"/>
    </row>
    <row r="31" spans="1:12">
      <c r="I31" s="57" t="s">
        <v>94</v>
      </c>
      <c r="J31" s="4" t="s">
        <v>209</v>
      </c>
    </row>
    <row r="32" spans="1:12">
      <c r="I32" s="57" t="s">
        <v>210</v>
      </c>
      <c r="J32" s="4" t="s">
        <v>211</v>
      </c>
    </row>
    <row r="33" spans="9:11">
      <c r="I33" s="57" t="s">
        <v>170</v>
      </c>
      <c r="J33" s="4" t="s">
        <v>212</v>
      </c>
    </row>
    <row r="34" spans="9:11">
      <c r="I34" s="57" t="s">
        <v>213</v>
      </c>
      <c r="J34" s="4" t="s">
        <v>219</v>
      </c>
    </row>
    <row r="35" spans="9:11">
      <c r="I35" s="57" t="s">
        <v>214</v>
      </c>
      <c r="J35" s="4" t="s">
        <v>215</v>
      </c>
    </row>
    <row r="36" spans="9:11">
      <c r="I36" s="57" t="s">
        <v>216</v>
      </c>
      <c r="J36" s="4" t="s">
        <v>220</v>
      </c>
    </row>
    <row r="38" spans="9:11">
      <c r="I38" s="136" t="s">
        <v>217</v>
      </c>
      <c r="J38" s="137"/>
      <c r="K38" s="137"/>
    </row>
  </sheetData>
  <mergeCells count="22">
    <mergeCell ref="I38:K38"/>
    <mergeCell ref="K24:L24"/>
    <mergeCell ref="K25:L25"/>
    <mergeCell ref="K26:L26"/>
    <mergeCell ref="K27:L27"/>
    <mergeCell ref="K28:L28"/>
    <mergeCell ref="B2:C2"/>
    <mergeCell ref="D2:E2"/>
    <mergeCell ref="I2:J2"/>
    <mergeCell ref="K2:L2"/>
    <mergeCell ref="K20:L20"/>
    <mergeCell ref="I3:J3"/>
    <mergeCell ref="I5:J5"/>
    <mergeCell ref="I6:J6"/>
    <mergeCell ref="I7:J7"/>
    <mergeCell ref="I8:J8"/>
    <mergeCell ref="I9:J9"/>
    <mergeCell ref="B29:C29"/>
    <mergeCell ref="A21:C21"/>
    <mergeCell ref="K21:L21"/>
    <mergeCell ref="K22:L22"/>
    <mergeCell ref="K19:L19"/>
  </mergeCells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1"/>
  <sheetViews>
    <sheetView workbookViewId="0">
      <selection activeCell="F27" sqref="F27"/>
    </sheetView>
  </sheetViews>
  <sheetFormatPr defaultRowHeight="15"/>
  <cols>
    <col min="1" max="1" width="17.7109375" customWidth="1"/>
    <col min="2" max="2" width="17.42578125" customWidth="1"/>
    <col min="5" max="5" width="21.7109375" customWidth="1"/>
  </cols>
  <sheetData>
    <row r="3" spans="1:5">
      <c r="A3" s="27" t="s">
        <v>106</v>
      </c>
      <c r="B3" s="4"/>
      <c r="D3" s="27" t="s">
        <v>107</v>
      </c>
      <c r="E3" s="4"/>
    </row>
    <row r="4" spans="1:5">
      <c r="A4" s="31"/>
      <c r="B4" s="4"/>
      <c r="D4" s="31"/>
      <c r="E4" s="4"/>
    </row>
    <row r="5" spans="1:5">
      <c r="A5" s="31">
        <v>5</v>
      </c>
      <c r="B5" s="4" t="s">
        <v>121</v>
      </c>
      <c r="D5" s="31">
        <v>5</v>
      </c>
      <c r="E5" s="31" t="s">
        <v>123</v>
      </c>
    </row>
    <row r="6" spans="1:5">
      <c r="A6" s="31">
        <v>4</v>
      </c>
      <c r="B6" s="4" t="s">
        <v>116</v>
      </c>
      <c r="D6" s="31">
        <v>4</v>
      </c>
      <c r="E6" s="31" t="s">
        <v>117</v>
      </c>
    </row>
    <row r="7" spans="1:5">
      <c r="A7" s="31">
        <v>3</v>
      </c>
      <c r="B7" s="4" t="s">
        <v>117</v>
      </c>
      <c r="D7" s="31">
        <v>3</v>
      </c>
      <c r="E7" s="31" t="s">
        <v>119</v>
      </c>
    </row>
    <row r="8" spans="1:5">
      <c r="A8" s="31">
        <v>2</v>
      </c>
      <c r="B8" s="4" t="s">
        <v>118</v>
      </c>
      <c r="D8" s="31">
        <v>2</v>
      </c>
      <c r="E8" s="31" t="s">
        <v>120</v>
      </c>
    </row>
    <row r="9" spans="1:5">
      <c r="A9" s="31">
        <v>1</v>
      </c>
      <c r="B9" s="4" t="s">
        <v>122</v>
      </c>
      <c r="D9" s="31">
        <v>1</v>
      </c>
      <c r="E9" s="31" t="s">
        <v>124</v>
      </c>
    </row>
    <row r="10" spans="1:5">
      <c r="A10" s="4"/>
      <c r="B10" s="4"/>
    </row>
    <row r="12" spans="1:5">
      <c r="A12" s="4"/>
      <c r="B12" s="4"/>
      <c r="D12" s="4"/>
      <c r="E12" s="4"/>
    </row>
    <row r="13" spans="1:5">
      <c r="A13" s="27" t="s">
        <v>108</v>
      </c>
      <c r="B13" s="4"/>
      <c r="D13" s="27" t="s">
        <v>109</v>
      </c>
      <c r="E13" s="4"/>
    </row>
    <row r="14" spans="1:5">
      <c r="A14" s="31"/>
      <c r="B14" s="4"/>
      <c r="D14" s="31"/>
      <c r="E14" s="4"/>
    </row>
    <row r="15" spans="1:5">
      <c r="A15" s="31">
        <v>5</v>
      </c>
      <c r="B15" s="31" t="s">
        <v>125</v>
      </c>
      <c r="D15" s="31">
        <v>5</v>
      </c>
      <c r="E15" s="31" t="s">
        <v>128</v>
      </c>
    </row>
    <row r="16" spans="1:5">
      <c r="A16" s="31">
        <v>4</v>
      </c>
      <c r="B16" s="31" t="s">
        <v>126</v>
      </c>
      <c r="D16" s="31">
        <v>4</v>
      </c>
      <c r="E16" s="31" t="s">
        <v>129</v>
      </c>
    </row>
    <row r="17" spans="1:5">
      <c r="A17" s="31">
        <v>3</v>
      </c>
      <c r="B17" s="31" t="s">
        <v>120</v>
      </c>
      <c r="D17" s="31">
        <v>3</v>
      </c>
      <c r="E17" s="31" t="s">
        <v>130</v>
      </c>
    </row>
    <row r="18" spans="1:5">
      <c r="A18" s="31">
        <v>2</v>
      </c>
      <c r="B18" s="31" t="s">
        <v>119</v>
      </c>
      <c r="D18" s="31">
        <v>2</v>
      </c>
      <c r="E18" s="31" t="s">
        <v>131</v>
      </c>
    </row>
    <row r="19" spans="1:5">
      <c r="A19" s="31">
        <v>1</v>
      </c>
      <c r="B19" s="31" t="s">
        <v>127</v>
      </c>
      <c r="D19" s="31">
        <v>1</v>
      </c>
      <c r="E19" s="31" t="s">
        <v>132</v>
      </c>
    </row>
    <row r="21" spans="1:5">
      <c r="A21" s="4"/>
      <c r="B21" s="4"/>
      <c r="D21" s="4"/>
      <c r="E21" s="4"/>
    </row>
    <row r="22" spans="1:5">
      <c r="A22" s="27" t="s">
        <v>110</v>
      </c>
      <c r="B22" s="4"/>
      <c r="D22" s="27" t="s">
        <v>111</v>
      </c>
      <c r="E22" s="4"/>
    </row>
    <row r="23" spans="1:5">
      <c r="A23" s="31"/>
      <c r="B23" s="4"/>
      <c r="D23" s="31"/>
      <c r="E23" s="4"/>
    </row>
    <row r="24" spans="1:5">
      <c r="A24" s="31">
        <v>5</v>
      </c>
      <c r="B24" s="31" t="s">
        <v>133</v>
      </c>
      <c r="D24" s="31">
        <v>5</v>
      </c>
      <c r="E24" s="31" t="s">
        <v>138</v>
      </c>
    </row>
    <row r="25" spans="1:5">
      <c r="A25" s="31">
        <v>4</v>
      </c>
      <c r="B25" s="31" t="s">
        <v>134</v>
      </c>
      <c r="D25" s="31">
        <v>4</v>
      </c>
      <c r="E25" s="31" t="s">
        <v>139</v>
      </c>
    </row>
    <row r="26" spans="1:5">
      <c r="A26" s="31">
        <v>3</v>
      </c>
      <c r="B26" s="31" t="s">
        <v>135</v>
      </c>
      <c r="D26" s="31">
        <v>3</v>
      </c>
      <c r="E26" s="31" t="s">
        <v>140</v>
      </c>
    </row>
    <row r="27" spans="1:5">
      <c r="A27" s="31">
        <v>2</v>
      </c>
      <c r="B27" s="31" t="s">
        <v>136</v>
      </c>
      <c r="D27" s="31">
        <v>2</v>
      </c>
      <c r="E27" s="31" t="s">
        <v>141</v>
      </c>
    </row>
    <row r="28" spans="1:5">
      <c r="A28" s="31">
        <v>1</v>
      </c>
      <c r="B28" s="31" t="s">
        <v>137</v>
      </c>
      <c r="D28" s="31">
        <v>1</v>
      </c>
      <c r="E28" s="31" t="s">
        <v>142</v>
      </c>
    </row>
    <row r="29" spans="1:5">
      <c r="A29" s="31"/>
      <c r="B29" s="31"/>
    </row>
    <row r="30" spans="1:5">
      <c r="A30" s="4"/>
      <c r="B30" s="4"/>
      <c r="D30" s="4"/>
      <c r="E30" s="4"/>
    </row>
    <row r="31" spans="1:5">
      <c r="A31" s="27" t="s">
        <v>112</v>
      </c>
      <c r="B31" s="4"/>
      <c r="D31" s="27" t="s">
        <v>113</v>
      </c>
      <c r="E31" s="4"/>
    </row>
    <row r="32" spans="1:5">
      <c r="A32" s="31"/>
      <c r="B32" s="4"/>
      <c r="D32" s="31"/>
      <c r="E32" s="4"/>
    </row>
    <row r="33" spans="1:5">
      <c r="A33" s="31">
        <v>5</v>
      </c>
      <c r="B33" s="31" t="s">
        <v>143</v>
      </c>
      <c r="D33" s="31">
        <v>5</v>
      </c>
      <c r="E33" s="31" t="s">
        <v>148</v>
      </c>
    </row>
    <row r="34" spans="1:5">
      <c r="A34" s="31">
        <v>4</v>
      </c>
      <c r="B34" s="31" t="s">
        <v>144</v>
      </c>
      <c r="D34" s="31">
        <v>4</v>
      </c>
      <c r="E34" s="31" t="s">
        <v>149</v>
      </c>
    </row>
    <row r="35" spans="1:5">
      <c r="A35" s="31">
        <v>3</v>
      </c>
      <c r="B35" s="31" t="s">
        <v>145</v>
      </c>
      <c r="D35" s="31">
        <v>3</v>
      </c>
      <c r="E35" s="31" t="s">
        <v>150</v>
      </c>
    </row>
    <row r="36" spans="1:5">
      <c r="A36" s="31">
        <v>2</v>
      </c>
      <c r="B36" s="31" t="s">
        <v>146</v>
      </c>
      <c r="D36" s="31">
        <v>2</v>
      </c>
      <c r="E36" s="31" t="s">
        <v>151</v>
      </c>
    </row>
    <row r="37" spans="1:5">
      <c r="A37" s="31">
        <v>1</v>
      </c>
      <c r="B37" s="31" t="s">
        <v>147</v>
      </c>
      <c r="D37" s="31">
        <v>1</v>
      </c>
      <c r="E37" s="31" t="s">
        <v>152</v>
      </c>
    </row>
    <row r="39" spans="1:5">
      <c r="A39" s="4"/>
      <c r="B39" s="4"/>
      <c r="D39" s="4"/>
      <c r="E39" s="4"/>
    </row>
    <row r="40" spans="1:5">
      <c r="A40" s="27" t="s">
        <v>114</v>
      </c>
      <c r="B40" s="4"/>
      <c r="D40" s="27" t="s">
        <v>115</v>
      </c>
      <c r="E40" s="4"/>
    </row>
    <row r="41" spans="1:5">
      <c r="A41" s="31"/>
      <c r="B41" s="4"/>
      <c r="D41" s="31"/>
      <c r="E41" s="4"/>
    </row>
    <row r="42" spans="1:5">
      <c r="A42" s="31">
        <v>5</v>
      </c>
      <c r="B42" s="31" t="s">
        <v>153</v>
      </c>
      <c r="D42" s="31">
        <v>5</v>
      </c>
      <c r="E42" s="31" t="s">
        <v>158</v>
      </c>
    </row>
    <row r="43" spans="1:5">
      <c r="A43" s="31">
        <v>4</v>
      </c>
      <c r="B43" s="31" t="s">
        <v>154</v>
      </c>
      <c r="D43" s="31">
        <v>3</v>
      </c>
      <c r="E43" s="31" t="s">
        <v>159</v>
      </c>
    </row>
    <row r="44" spans="1:5">
      <c r="A44" s="31">
        <v>3</v>
      </c>
      <c r="B44" s="31" t="s">
        <v>155</v>
      </c>
      <c r="D44" s="31">
        <v>1</v>
      </c>
      <c r="E44" s="31" t="s">
        <v>160</v>
      </c>
    </row>
    <row r="45" spans="1:5">
      <c r="A45" s="31">
        <v>2</v>
      </c>
      <c r="B45" s="31" t="s">
        <v>156</v>
      </c>
    </row>
    <row r="46" spans="1:5">
      <c r="A46" s="31">
        <v>1</v>
      </c>
      <c r="B46" s="31" t="s">
        <v>157</v>
      </c>
    </row>
    <row r="80" spans="1:1">
      <c r="A80" s="30"/>
    </row>
    <row r="81" spans="1:1">
      <c r="A81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6"/>
  <sheetViews>
    <sheetView tabSelected="1" topLeftCell="A3" zoomScale="81" workbookViewId="0">
      <selection activeCell="B22" sqref="B22"/>
    </sheetView>
  </sheetViews>
  <sheetFormatPr defaultRowHeight="15"/>
  <cols>
    <col min="1" max="1" width="29" customWidth="1"/>
    <col min="2" max="2" width="13" customWidth="1"/>
    <col min="3" max="3" width="13.42578125" customWidth="1"/>
    <col min="4" max="4" width="13.140625" customWidth="1"/>
    <col min="5" max="5" width="13.5703125" customWidth="1"/>
    <col min="6" max="6" width="16.7109375" customWidth="1"/>
    <col min="7" max="7" width="5.85546875" customWidth="1"/>
    <col min="8" max="8" width="12" customWidth="1"/>
    <col min="9" max="9" width="13" customWidth="1"/>
    <col min="10" max="10" width="13.28515625" customWidth="1"/>
    <col min="11" max="11" width="13.7109375" customWidth="1"/>
    <col min="12" max="12" width="17.140625" customWidth="1"/>
  </cols>
  <sheetData>
    <row r="2" spans="1:12">
      <c r="A2" t="s">
        <v>257</v>
      </c>
    </row>
    <row r="3" spans="1:12">
      <c r="A3" s="139" t="s">
        <v>264</v>
      </c>
      <c r="B3" s="139"/>
      <c r="C3" s="139"/>
      <c r="D3" s="139"/>
      <c r="E3" s="139"/>
      <c r="F3" s="139"/>
      <c r="G3" s="88"/>
      <c r="H3" s="139" t="s">
        <v>32</v>
      </c>
      <c r="I3" s="139"/>
      <c r="J3" s="139"/>
      <c r="K3" s="139"/>
      <c r="L3" s="139"/>
    </row>
    <row r="4" spans="1:12" ht="59.25" customHeight="1">
      <c r="A4" s="103"/>
      <c r="B4" s="103" t="s">
        <v>258</v>
      </c>
      <c r="C4" s="103" t="str">
        <f>' Stress Test Assump'!C3</f>
        <v>Scenario 1 High Oil</v>
      </c>
      <c r="D4" s="103" t="str">
        <f>' Stress Test Assump'!D3</f>
        <v>Scenario 2 Low Oil</v>
      </c>
      <c r="E4" s="103" t="str">
        <f>' Stress Test Assump'!E3</f>
        <v>Scenario 3 Cost pressure</v>
      </c>
      <c r="F4" s="103" t="str">
        <f>' Stress Test Assump'!F3</f>
        <v>Scenario 4 Combined Severe</v>
      </c>
      <c r="G4" s="4"/>
      <c r="H4" s="103" t="s">
        <v>258</v>
      </c>
      <c r="I4" s="103" t="s">
        <v>259</v>
      </c>
      <c r="J4" s="103" t="s">
        <v>260</v>
      </c>
      <c r="K4" s="103" t="s">
        <v>267</v>
      </c>
      <c r="L4" s="103" t="s">
        <v>261</v>
      </c>
    </row>
    <row r="5" spans="1:12">
      <c r="A5" s="98" t="s">
        <v>232</v>
      </c>
      <c r="B5" s="98">
        <f>' Stress Test Assump'!B4</f>
        <v>75</v>
      </c>
      <c r="C5" s="98">
        <f>' Stress Test Assump'!C4</f>
        <v>144</v>
      </c>
      <c r="D5" s="98">
        <f>' Stress Test Assump'!D4</f>
        <v>60</v>
      </c>
      <c r="E5" s="98">
        <f>' Stress Test Assump'!E4</f>
        <v>90</v>
      </c>
      <c r="F5" s="98">
        <f>' Stress Test Assump'!F4</f>
        <v>67</v>
      </c>
      <c r="G5" s="4"/>
      <c r="H5" s="98">
        <v>75</v>
      </c>
      <c r="I5" s="98">
        <v>144</v>
      </c>
      <c r="J5" s="98">
        <v>60</v>
      </c>
      <c r="K5" s="98">
        <v>90</v>
      </c>
      <c r="L5" s="98">
        <v>67</v>
      </c>
    </row>
    <row r="6" spans="1:12">
      <c r="A6" s="98" t="s">
        <v>233</v>
      </c>
      <c r="B6" s="105">
        <f>' Stress Test Assump'!B5</f>
        <v>0</v>
      </c>
      <c r="C6" s="105">
        <f>' Stress Test Assump'!C5</f>
        <v>0.15</v>
      </c>
      <c r="D6" s="105">
        <f>' Stress Test Assump'!D5</f>
        <v>-0.2</v>
      </c>
      <c r="E6" s="105">
        <v>-0.05</v>
      </c>
      <c r="F6" s="105">
        <v>-0.25</v>
      </c>
      <c r="G6" s="4"/>
      <c r="H6" s="105">
        <v>0</v>
      </c>
      <c r="I6" s="105">
        <v>0.15</v>
      </c>
      <c r="J6" s="105">
        <v>-0.2</v>
      </c>
      <c r="K6" s="105">
        <v>-0.05</v>
      </c>
      <c r="L6" s="105">
        <v>-0.25</v>
      </c>
    </row>
    <row r="7" spans="1:12">
      <c r="A7" s="98" t="s">
        <v>234</v>
      </c>
      <c r="B7" s="98">
        <f>' Stress Test Assump'!B6</f>
        <v>0</v>
      </c>
      <c r="C7" s="98">
        <f>' Stress Test Assump'!C6</f>
        <v>0.2</v>
      </c>
      <c r="D7" s="98">
        <f>' Stress Test Assump'!D6</f>
        <v>-0.1</v>
      </c>
      <c r="E7" s="98">
        <f>' Stress Test Assump'!E6</f>
        <v>0.15</v>
      </c>
      <c r="F7" s="98">
        <f>' Stress Test Assump'!F6</f>
        <v>0.2</v>
      </c>
      <c r="G7" s="4"/>
      <c r="H7" s="98">
        <v>0</v>
      </c>
      <c r="I7" s="98">
        <v>0.2</v>
      </c>
      <c r="J7" s="98">
        <v>-0.1</v>
      </c>
      <c r="K7" s="98">
        <v>0.15</v>
      </c>
      <c r="L7" s="98">
        <v>0.2</v>
      </c>
    </row>
    <row r="8" spans="1:12">
      <c r="A8" s="98" t="s">
        <v>235</v>
      </c>
      <c r="B8" s="98">
        <f>' Stress Test Assump'!B7</f>
        <v>0</v>
      </c>
      <c r="C8" s="98">
        <f>' Stress Test Assump'!C7</f>
        <v>0</v>
      </c>
      <c r="D8" s="98">
        <f>' Stress Test Assump'!D7</f>
        <v>0</v>
      </c>
      <c r="E8" s="98">
        <f>' Stress Test Assump'!E7</f>
        <v>150</v>
      </c>
      <c r="F8" s="98">
        <f>' Stress Test Assump'!F7</f>
        <v>200</v>
      </c>
      <c r="G8" s="4"/>
      <c r="H8" s="98">
        <v>0</v>
      </c>
      <c r="I8" s="98">
        <v>0</v>
      </c>
      <c r="J8" s="98">
        <v>0</v>
      </c>
      <c r="K8" s="98">
        <v>150</v>
      </c>
      <c r="L8" s="98">
        <v>200</v>
      </c>
    </row>
    <row r="9" spans="1:12">
      <c r="A9" s="98" t="s">
        <v>236</v>
      </c>
      <c r="B9" s="98">
        <f>' Stress Test Assump'!B8</f>
        <v>0</v>
      </c>
      <c r="C9" s="98">
        <f>' Stress Test Assump'!C8</f>
        <v>0.1</v>
      </c>
      <c r="D9" s="98">
        <f>' Stress Test Assump'!D8</f>
        <v>0</v>
      </c>
      <c r="E9" s="98">
        <f>' Stress Test Assump'!E8</f>
        <v>0.3</v>
      </c>
      <c r="F9" s="98">
        <f>' Stress Test Assump'!F8</f>
        <v>0.35</v>
      </c>
      <c r="G9" s="4"/>
      <c r="H9" s="98">
        <v>0</v>
      </c>
      <c r="I9" s="98">
        <v>0.1</v>
      </c>
      <c r="J9" s="98">
        <v>0</v>
      </c>
      <c r="K9" s="98">
        <v>0.3</v>
      </c>
      <c r="L9" s="98">
        <v>0.35</v>
      </c>
    </row>
    <row r="10" spans="1:12">
      <c r="A10" s="98" t="s">
        <v>237</v>
      </c>
      <c r="B10" s="99">
        <f>' Stress Test Assump'!B9</f>
        <v>0.5</v>
      </c>
      <c r="C10" s="99">
        <f>' Stress Test Assump'!C9</f>
        <v>0.5</v>
      </c>
      <c r="D10" s="99">
        <f>' Stress Test Assump'!D9</f>
        <v>0.5</v>
      </c>
      <c r="E10" s="99">
        <f>' Stress Test Assump'!E9</f>
        <v>0.5</v>
      </c>
      <c r="F10" s="99">
        <f>' Stress Test Assump'!F9</f>
        <v>0.5</v>
      </c>
      <c r="G10" s="4"/>
      <c r="H10" s="99">
        <v>0.5</v>
      </c>
      <c r="I10" s="99">
        <v>0.5</v>
      </c>
      <c r="J10" s="99">
        <v>0.5</v>
      </c>
      <c r="K10" s="99">
        <v>0.5</v>
      </c>
      <c r="L10" s="99">
        <v>0.5</v>
      </c>
    </row>
    <row r="11" spans="1:12">
      <c r="A11" s="4"/>
      <c r="B11" s="4"/>
      <c r="C11" s="4"/>
      <c r="D11" s="104"/>
      <c r="E11" s="4"/>
      <c r="F11" s="4"/>
      <c r="G11" s="4"/>
      <c r="H11" s="4"/>
      <c r="I11" s="4"/>
      <c r="J11" s="4"/>
      <c r="K11" s="4"/>
      <c r="L11" s="4"/>
    </row>
    <row r="12" spans="1:12">
      <c r="A12" s="98" t="s">
        <v>240</v>
      </c>
      <c r="B12" s="5">
        <f>'Shell '!B6</f>
        <v>273731</v>
      </c>
      <c r="C12" s="5">
        <v>273731</v>
      </c>
      <c r="D12" s="5">
        <v>273731</v>
      </c>
      <c r="E12" s="5">
        <v>273731</v>
      </c>
      <c r="F12" s="5">
        <v>273731</v>
      </c>
      <c r="G12" s="5"/>
      <c r="H12" s="5">
        <f>BP!B6</f>
        <v>192549</v>
      </c>
      <c r="I12" s="5">
        <v>192549</v>
      </c>
      <c r="J12" s="5">
        <v>192549</v>
      </c>
      <c r="K12" s="5">
        <v>192549</v>
      </c>
      <c r="L12" s="5">
        <v>192549</v>
      </c>
    </row>
    <row r="13" spans="1:12">
      <c r="A13" s="98" t="s">
        <v>241</v>
      </c>
      <c r="B13" s="107">
        <f>B12*(1+B6)</f>
        <v>273731</v>
      </c>
      <c r="C13" s="107">
        <f>C12*(1+C6)</f>
        <v>314790.64999999997</v>
      </c>
      <c r="D13" s="107">
        <f t="shared" ref="D13:F13" si="0">D12*(1+D6)</f>
        <v>218984.80000000002</v>
      </c>
      <c r="E13" s="107">
        <f t="shared" si="0"/>
        <v>260044.44999999998</v>
      </c>
      <c r="F13" s="107">
        <f t="shared" si="0"/>
        <v>205298.25</v>
      </c>
      <c r="G13" s="5"/>
      <c r="H13" s="5">
        <f>H12*(1+H6)</f>
        <v>192549</v>
      </c>
      <c r="I13" s="5">
        <f t="shared" ref="I13:L13" si="1">I12*(1+I6)</f>
        <v>221431.34999999998</v>
      </c>
      <c r="J13" s="5">
        <f t="shared" si="1"/>
        <v>154039.20000000001</v>
      </c>
      <c r="K13" s="5">
        <f t="shared" si="1"/>
        <v>182921.55</v>
      </c>
      <c r="L13" s="5">
        <f t="shared" si="1"/>
        <v>144411.75</v>
      </c>
    </row>
    <row r="14" spans="1:12">
      <c r="A14" s="98" t="s">
        <v>242</v>
      </c>
      <c r="B14" s="108">
        <f>'Shell '!B10</f>
        <v>59726</v>
      </c>
      <c r="C14" s="108">
        <v>59726</v>
      </c>
      <c r="D14" s="5">
        <v>59726</v>
      </c>
      <c r="E14" s="5">
        <v>59726</v>
      </c>
      <c r="F14" s="5">
        <v>59726</v>
      </c>
      <c r="G14" s="5"/>
      <c r="H14" s="5">
        <f>BP!B10</f>
        <v>30464</v>
      </c>
      <c r="I14" s="5">
        <v>30464</v>
      </c>
      <c r="J14" s="5">
        <v>30464</v>
      </c>
      <c r="K14" s="5">
        <v>30464</v>
      </c>
      <c r="L14" s="5">
        <v>30464</v>
      </c>
    </row>
    <row r="15" spans="1:12">
      <c r="A15" s="98" t="s">
        <v>243</v>
      </c>
      <c r="B15" s="108">
        <f>B14*(1+B6)*(1-(B7+B9))</f>
        <v>59726</v>
      </c>
      <c r="C15" s="108">
        <f t="shared" ref="C15:F15" si="2">C14*(1+C6)*(1-(C7+C9))</f>
        <v>48079.429999999993</v>
      </c>
      <c r="D15" s="5">
        <f t="shared" si="2"/>
        <v>52558.880000000005</v>
      </c>
      <c r="E15" s="5">
        <f t="shared" si="2"/>
        <v>31206.834999999999</v>
      </c>
      <c r="F15" s="5">
        <f t="shared" si="2"/>
        <v>20157.524999999998</v>
      </c>
      <c r="G15" s="5"/>
      <c r="H15" s="5">
        <f t="shared" ref="H15:L15" si="3">H14*(1+H6)*(1-(H7+H9))</f>
        <v>30464</v>
      </c>
      <c r="I15" s="5">
        <f t="shared" si="3"/>
        <v>24523.519999999997</v>
      </c>
      <c r="J15" s="5">
        <f t="shared" si="3"/>
        <v>26808.320000000003</v>
      </c>
      <c r="K15" s="5">
        <f t="shared" si="3"/>
        <v>15917.44</v>
      </c>
      <c r="L15" s="5">
        <f t="shared" si="3"/>
        <v>10281.599999999999</v>
      </c>
    </row>
    <row r="16" spans="1:12">
      <c r="A16" s="98" t="s">
        <v>244</v>
      </c>
      <c r="B16" s="108">
        <f>'Shell '!B11</f>
        <v>4671</v>
      </c>
      <c r="C16" s="108">
        <v>4671</v>
      </c>
      <c r="D16" s="108">
        <v>4671</v>
      </c>
      <c r="E16" s="108">
        <v>4671</v>
      </c>
      <c r="F16" s="108">
        <v>4671</v>
      </c>
      <c r="G16" s="5"/>
      <c r="H16" s="5">
        <f>BP!B11</f>
        <v>4896</v>
      </c>
      <c r="I16" s="5">
        <v>4896</v>
      </c>
      <c r="J16" s="5">
        <v>4896</v>
      </c>
      <c r="K16" s="5">
        <v>4896</v>
      </c>
      <c r="L16" s="5">
        <v>4896</v>
      </c>
    </row>
    <row r="17" spans="1:12">
      <c r="A17" s="98" t="s">
        <v>245</v>
      </c>
      <c r="B17" s="108">
        <f>B16</f>
        <v>4671</v>
      </c>
      <c r="C17" s="108">
        <f>C16</f>
        <v>4671</v>
      </c>
      <c r="D17" s="5">
        <f>D16</f>
        <v>4671</v>
      </c>
      <c r="E17" s="5">
        <f>E16*(1+(E8/1000*0.5))</f>
        <v>5021.3249999999998</v>
      </c>
      <c r="F17" s="5">
        <f>F16*(1+(F8/1000*0.5))</f>
        <v>5138.1000000000004</v>
      </c>
      <c r="G17" s="5"/>
      <c r="H17" s="5">
        <f>H16</f>
        <v>4896</v>
      </c>
      <c r="I17" s="5">
        <f t="shared" ref="I17:J17" si="4">I16</f>
        <v>4896</v>
      </c>
      <c r="J17" s="5">
        <f t="shared" si="4"/>
        <v>4896</v>
      </c>
      <c r="K17" s="5">
        <f>K16*(1+(K8/1000*0.5))</f>
        <v>5263.2</v>
      </c>
      <c r="L17" s="5">
        <f>L16*(1+(L8/1000*0.5))</f>
        <v>5385.6</v>
      </c>
    </row>
    <row r="18" spans="1:12">
      <c r="A18" s="98" t="s">
        <v>246</v>
      </c>
      <c r="B18" s="109">
        <f>B15/(B17+'Fianncial Analysis '!B34)</f>
        <v>12.774717915742041</v>
      </c>
      <c r="C18" s="109">
        <f>C15/(C17+'Fianncial Analysis '!C34)</f>
        <v>10.284917737467167</v>
      </c>
      <c r="D18" s="109">
        <f>D15/(D17+'Fianncial Analysis '!D34)</f>
        <v>11.240866086771822</v>
      </c>
      <c r="E18" s="109">
        <f>E15/(E17+'Fianncial Analysis '!E34)</f>
        <v>6.2114607219797167</v>
      </c>
      <c r="F18" s="109">
        <f>F15/(F17+'Fianncial Analysis '!F34)</f>
        <v>3.9213185475417931</v>
      </c>
      <c r="G18" s="22"/>
      <c r="H18" s="109">
        <f>H15/(H17+'Fianncial Analysis '!E34)</f>
        <v>6.2187312146836051</v>
      </c>
      <c r="I18" s="109">
        <f>I15/(I17+'Fianncial Analysis '!F34)</f>
        <v>5.0064381408784699</v>
      </c>
      <c r="J18" s="109">
        <f>J15/(J17+'Fianncial Analysis '!G34)</f>
        <v>5.4704832920648503</v>
      </c>
      <c r="K18" s="109">
        <f>K15/(K17+'Fianncial Analysis '!H34)</f>
        <v>3.0242894056847547</v>
      </c>
      <c r="L18" s="109">
        <f>L15/(L17+'Fianncial Analysis '!I34)</f>
        <v>1.9090909090909087</v>
      </c>
    </row>
    <row r="19" spans="1:12">
      <c r="A19" s="98" t="s">
        <v>247</v>
      </c>
      <c r="B19" s="109">
        <f>B15/B17</f>
        <v>12.786555341468636</v>
      </c>
      <c r="C19" s="109">
        <f t="shared" ref="C19:F19" si="5">C15/C17</f>
        <v>10.293177049882251</v>
      </c>
      <c r="D19" s="109">
        <f t="shared" si="5"/>
        <v>11.252168700492401</v>
      </c>
      <c r="E19" s="109">
        <f>E15/E17</f>
        <v>6.2148606194580118</v>
      </c>
      <c r="F19" s="109">
        <f t="shared" si="5"/>
        <v>3.9231476615869671</v>
      </c>
      <c r="G19" s="22"/>
      <c r="H19" s="109">
        <f t="shared" ref="H19:L19" si="6">H15/H17</f>
        <v>6.2222222222222223</v>
      </c>
      <c r="I19" s="109">
        <f t="shared" si="6"/>
        <v>5.0088888888888885</v>
      </c>
      <c r="J19" s="109">
        <f t="shared" si="6"/>
        <v>5.4755555555555562</v>
      </c>
      <c r="K19" s="109">
        <f t="shared" si="6"/>
        <v>3.0242894056847547</v>
      </c>
      <c r="L19" s="109">
        <f t="shared" si="6"/>
        <v>1.9090909090909087</v>
      </c>
    </row>
    <row r="20" spans="1:12">
      <c r="A20" s="4"/>
      <c r="B20" s="98"/>
      <c r="C20" s="98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98" t="s">
        <v>250</v>
      </c>
      <c r="B21" s="4">
        <f>61+(IF(B17&gt;=3,5,IF(B17&gt;=2,4,IF(B17&gt;=1.5,3,IF(B17&gt;=1,2,1))))*0.125*20)+(IF(B18&gt;=10,5,IF(B18&gt;=7,4,IF(B18&gt;=5,3,IF(B18&gt;=3,2,1))))*0.125*20)</f>
        <v>86</v>
      </c>
      <c r="C21" s="4">
        <f t="shared" ref="C21:F21" si="7">61+(IF(C17&gt;=3,5,IF(C17&gt;=2,4,IF(C17&gt;=1.5,3,IF(C17&gt;=1,2,1))))*0.125*20)+(IF(C18&gt;=10,5,IF(C18&gt;=7,4,IF(C18&gt;=5,3,IF(C18&gt;=3,2,1))))*0.125*20)</f>
        <v>86</v>
      </c>
      <c r="D21" s="4">
        <f t="shared" si="7"/>
        <v>86</v>
      </c>
      <c r="E21" s="4">
        <f t="shared" si="7"/>
        <v>81</v>
      </c>
      <c r="F21" s="4">
        <f t="shared" si="7"/>
        <v>78.5</v>
      </c>
      <c r="G21" s="4"/>
      <c r="H21" s="4">
        <f>48+(IF(H17&gt;=3,5,IF(H17&gt;=2,4,IF(H17&gt;=1.5,3,IF(H17&gt;=1,2,1))))*0.125*20)+(IF(H18&gt;=10,5,IF(H18&gt;=7,4,IF(H18&gt;=5,3,IF(H18&gt;=3,2,1))))*0.125*20)</f>
        <v>68</v>
      </c>
      <c r="I21" s="4">
        <f>48+(IF(I17&gt;=3,5,IF(I17&gt;=2,4,IF(I17&gt;=1.5,3,IF(I17&gt;=1,2,1))))*0.125*20)+(IF(I18&gt;=10,5,IF(I18&gt;=7,4,IF(I18&gt;=5,3,IF(I18&gt;=3,2,1))))*0.125*20)</f>
        <v>68</v>
      </c>
      <c r="J21" s="4">
        <f>48+(IF(J17&gt;=3,5,IF(J17&gt;=2,4,IF(J17&gt;=1.5,3,IF(J17&gt;=1,2,1))))*0.125*20)+(IF(J18&gt;=10,5,IF(J18&gt;=7,4,IF(J18&gt;=5,3,IF(J18&gt;=3,2,1))))*0.125*20)</f>
        <v>68</v>
      </c>
      <c r="K21" s="4">
        <f>48+(IF(K17&gt;=3,5,IF(K17&gt;=2,4,IF(K17&gt;=1.5,3,IF(K17&gt;=1,2,1))))*0.125*20)+(IF(K18&gt;=10,5,IF(K18&gt;=7,4,IF(K18&gt;=5,3,IF(K18&gt;=3,2,1))))*0.125*20)</f>
        <v>65.5</v>
      </c>
      <c r="L21" s="4">
        <f>48+(IF(L17&gt;=3,5,IF(L17&gt;=2,4,IF(L17&gt;=1.5,3,IF(L17&gt;=1,2,1))))*0.125*20)+(IF(L18&gt;=10,5,IF(L18&gt;=7,4,IF(L18&gt;=5,3,IF(L18&gt;=3,2,1))))*0.125*20)</f>
        <v>63</v>
      </c>
    </row>
    <row r="22" spans="1:12">
      <c r="A22" s="98" t="s">
        <v>251</v>
      </c>
      <c r="B22" s="4" t="str">
        <f>IF(B21&gt;=80,"AAA-AA",IF(B21&gt;=65,"A-BBB",IF(B21&gt;=50,"BB",IF(B21&gt;=35,"B","CCC-D"))))</f>
        <v>AAA-AA</v>
      </c>
      <c r="C22" s="4" t="str">
        <f t="shared" ref="C22:F22" si="8">IF(C21&gt;=80,"AAA-AA",IF(C21&gt;=65,"A-BBB",IF(C21&gt;=50,"BB",IF(C21&gt;=35,"B","CCC-D"))))</f>
        <v>AAA-AA</v>
      </c>
      <c r="D22" s="4" t="str">
        <f t="shared" si="8"/>
        <v>AAA-AA</v>
      </c>
      <c r="E22" s="4" t="str">
        <f t="shared" si="8"/>
        <v>AAA-AA</v>
      </c>
      <c r="F22" s="4" t="str">
        <f t="shared" si="8"/>
        <v>A-BBB</v>
      </c>
      <c r="G22" s="4"/>
      <c r="H22" s="4" t="str">
        <f>IF(H21&gt;=80,"AAA-AA",IF(H21&gt;=65,"A-BBB",IF(H21&gt;=50,"BB",IF(H21&gt;=35,"B","CCC-D"))))</f>
        <v>A-BBB</v>
      </c>
      <c r="I22" s="4" t="str">
        <f t="shared" ref="I22:L22" si="9">IF(I21&gt;=80,"AAA-AA",IF(I21&gt;=65,"A-BBB",IF(I21&gt;=50,"BB",IF(I21&gt;=35,"B","CCC-D"))))</f>
        <v>A-BBB</v>
      </c>
      <c r="J22" s="4" t="str">
        <f t="shared" si="9"/>
        <v>A-BBB</v>
      </c>
      <c r="K22" s="4" t="str">
        <f t="shared" si="9"/>
        <v>A-BBB</v>
      </c>
      <c r="L22" s="4" t="str">
        <f t="shared" si="9"/>
        <v>BB</v>
      </c>
    </row>
    <row r="23" spans="1:12">
      <c r="A23" s="4" t="s">
        <v>252</v>
      </c>
      <c r="B23" s="4" t="str">
        <f>IF(B21&gt;=65,"Stage 1",IF(B21&gt;=50,"Stage 2",IF(B21&gt;=35,"Stage 2/3","Stage 3")))</f>
        <v>Stage 1</v>
      </c>
      <c r="C23" s="4" t="str">
        <f>IF(B21&gt;=65,"Stage 1",IF(B21&gt;=50,"Stage 2",IF(B21&gt;=35,"Stage 2/3","Stage 3")))</f>
        <v>Stage 1</v>
      </c>
      <c r="D23" s="4" t="str">
        <f>IF(B21&gt;=65,"Stage 1",IF(B21&gt;=50,"Stage 2",IF(B21&gt;=35,"Stage 2/3","Stage 3")))</f>
        <v>Stage 1</v>
      </c>
      <c r="E23" s="4" t="str">
        <f>IF(B21&gt;=65,"Stage 1",IF(B21&gt;=50,"Stage 2",IF(B21&gt;=35,"Stage 2/3","Stage 3")))</f>
        <v>Stage 1</v>
      </c>
      <c r="F23" s="4" t="str">
        <f>IF(B21&gt;=65,"Stage 1",IF(B21&gt;=50,"Stage 2",IF(B21&gt;=35,"Stage 2/3","Stage 3")))</f>
        <v>Stage 1</v>
      </c>
      <c r="G23" s="4"/>
      <c r="H23" s="4" t="str">
        <f>IF(H21&gt;=65,"Stage 1",IF(H21&gt;=50,"Stage 2",IF(H21&gt;=35,"Stage 2/3","Stage 3")))</f>
        <v>Stage 1</v>
      </c>
      <c r="I23" s="4" t="str">
        <f>IF(I21&gt;=65,"Stage 1",IF(I21&gt;=50,"Stage 2",IF(I21&gt;=35,"Stage 2/3","Stage 3")))</f>
        <v>Stage 1</v>
      </c>
      <c r="J23" s="4" t="str">
        <f>IF(J21&gt;=65,"Stage 1",IF(J21&gt;=50,"Stage 2",IF(J21&gt;=35,"Stage 2/3","Stage 3")))</f>
        <v>Stage 1</v>
      </c>
      <c r="K23" s="4" t="str">
        <f>IF(K21&gt;=65,"Stage 1",IF(K21&gt;=50,"Stage 2",IF(K21&gt;=35,"Stage 2/3","Stage 3")))</f>
        <v>Stage 1</v>
      </c>
      <c r="L23" s="4" t="str">
        <f>IF(L21&gt;=65,"Stage 1",IF(L21&gt;=50,"Stage 2",IF(L21&gt;=35,"Stage 2/3","Stage 3")))</f>
        <v>Stage 2</v>
      </c>
    </row>
    <row r="24" spans="1:12">
      <c r="A24" s="4" t="s">
        <v>253</v>
      </c>
      <c r="B24" s="4">
        <f>IF(B22="AAA-AA",0.0003,IF(B22="A-BBB",0.0015,IF(B22="BB",0.02,IF(B22="B",0.08,0.2))))</f>
        <v>2.9999999999999997E-4</v>
      </c>
      <c r="C24" s="4">
        <f>IF(C22="AAA-AA",0.0003,IF(C22="A-BBB",0.0015,IF(C22="BB",0.02,IF(C22="B",0.08,0.2))))</f>
        <v>2.9999999999999997E-4</v>
      </c>
      <c r="D24" s="4">
        <f>IF(D22="AAA-AA",0.0003,IF(D22="A-BBB",0.0015,IF(D22="BB",0.02,IF(D22="B",0.08,0.2))))</f>
        <v>2.9999999999999997E-4</v>
      </c>
      <c r="E24" s="4">
        <f>IF(E22="AAA-AA",0.0003,IF(E22="A-BBB",0.0015,IF(E22="BB",0.02,IF(E22="B",0.08,0.2))))</f>
        <v>2.9999999999999997E-4</v>
      </c>
      <c r="F24" s="4">
        <f>IF(F22="AAA-AA",0.0003,IF(F22="A-BBB",0.0015,IF(F22="BB",0.02,IF(F22="B",0.08,0.2))))</f>
        <v>1.5E-3</v>
      </c>
      <c r="G24" s="4"/>
      <c r="H24" s="4">
        <f>IF(H22="AAA-AA",0.0003,IF(H22="A-BBB",0.0015,IF(H22="BB",0.02,IF(H22="B",0.08,0.2))))</f>
        <v>1.5E-3</v>
      </c>
      <c r="I24" s="4">
        <f>IF(I22="AAA-AA",0.0003,IF(I22="A-BBB",0.0015,IF(I22="BB",0.02,IF(I22="B",0.08,0.2))))</f>
        <v>1.5E-3</v>
      </c>
      <c r="J24" s="4">
        <f>IF(J22="AAA-AA",0.0003,IF(J22="A-BBB",0.0015,IF(J22="BB",0.02,IF(J22="B",0.08,0.2))))</f>
        <v>1.5E-3</v>
      </c>
      <c r="K24" s="4">
        <f>IF(K22="AAA-AA",0.0003,IF(K22="A-BBB",0.0015,IF(K22="BB",0.02,IF(K22="B",0.08,0.2))))</f>
        <v>1.5E-3</v>
      </c>
      <c r="L24" s="4">
        <f>IF(L22="AAA-AA",0.0003,IF(L22="A-BBB",0.0015,IF(L22="BB",0.02,IF(L22="B",0.08,0.2))))</f>
        <v>0.02</v>
      </c>
    </row>
    <row r="25" spans="1:12">
      <c r="A25" s="4" t="s">
        <v>254</v>
      </c>
      <c r="B25" s="4">
        <f>IF(B23="Stage 1",0.283,IF(B23="Stage 2",0.333,0.45))</f>
        <v>0.28299999999999997</v>
      </c>
      <c r="C25" s="4">
        <f t="shared" ref="C25:F25" si="10">IF(C23="Stage 1",0.283,IF(C23="Stage 2",0.333,0.45))</f>
        <v>0.28299999999999997</v>
      </c>
      <c r="D25" s="4">
        <f t="shared" si="10"/>
        <v>0.28299999999999997</v>
      </c>
      <c r="E25" s="4">
        <f t="shared" si="10"/>
        <v>0.28299999999999997</v>
      </c>
      <c r="F25" s="4">
        <f t="shared" si="10"/>
        <v>0.28299999999999997</v>
      </c>
      <c r="G25" s="4"/>
      <c r="H25" s="4">
        <f>IF(H23="Stage 1",0.308,IF(H23="Stage 2",0.358,0.45))</f>
        <v>0.308</v>
      </c>
      <c r="I25" s="4">
        <f>IF(I23="Stage 1",0.308,IF(I23="Stage 2",0.358,0.45))</f>
        <v>0.308</v>
      </c>
      <c r="J25" s="4">
        <f>IF(J23="Stage 1",0.308,IF(J23="Stage 2",0.358,0.45))</f>
        <v>0.308</v>
      </c>
      <c r="K25" s="4">
        <f>IF(K23="Stage 1",0.308,IF(K23="Stage 2",0.358,0.45))</f>
        <v>0.308</v>
      </c>
      <c r="L25" s="4">
        <f>IF(L23="Stage 1",0.308,IF(L23="Stage 2",0.358,0.45))</f>
        <v>0.35799999999999998</v>
      </c>
    </row>
    <row r="26" spans="1:12">
      <c r="A26" s="4" t="s">
        <v>255</v>
      </c>
      <c r="B26" s="4">
        <f>720*B24*B25</f>
        <v>6.1127999999999988E-2</v>
      </c>
      <c r="C26" s="4">
        <f>720*C24*C25</f>
        <v>6.1127999999999988E-2</v>
      </c>
      <c r="D26" s="4">
        <f t="shared" ref="D26:F26" si="11">720*D24*D25</f>
        <v>6.1127999999999988E-2</v>
      </c>
      <c r="E26" s="4">
        <f t="shared" si="11"/>
        <v>6.1127999999999988E-2</v>
      </c>
      <c r="F26" s="4">
        <f t="shared" si="11"/>
        <v>0.30563999999999997</v>
      </c>
      <c r="G26" s="4"/>
      <c r="H26" s="4">
        <f>464*H24*H25</f>
        <v>0.214368</v>
      </c>
      <c r="I26" s="4">
        <f t="shared" ref="I26:L26" si="12">464*I24*I25</f>
        <v>0.214368</v>
      </c>
      <c r="J26" s="4">
        <f t="shared" si="12"/>
        <v>0.214368</v>
      </c>
      <c r="K26" s="4">
        <f t="shared" si="12"/>
        <v>0.214368</v>
      </c>
      <c r="L26" s="4">
        <f t="shared" si="12"/>
        <v>3.3222399999999994</v>
      </c>
    </row>
    <row r="27" spans="1:12">
      <c r="A27" s="4" t="s">
        <v>265</v>
      </c>
      <c r="B27" s="4">
        <f>B26-$B26</f>
        <v>0</v>
      </c>
      <c r="C27" s="14">
        <f>C26-B26</f>
        <v>0</v>
      </c>
      <c r="D27" s="14">
        <f t="shared" ref="D27:F27" si="13">D26-C26</f>
        <v>0</v>
      </c>
      <c r="E27" s="14">
        <f t="shared" si="13"/>
        <v>0</v>
      </c>
      <c r="F27" s="14">
        <f t="shared" si="13"/>
        <v>0.24451199999999998</v>
      </c>
      <c r="G27" s="4"/>
      <c r="H27" s="14">
        <f>H26-$H26</f>
        <v>0</v>
      </c>
      <c r="I27" s="4">
        <f>I26-H26</f>
        <v>0</v>
      </c>
      <c r="J27" s="4">
        <f t="shared" ref="J27:L27" si="14">J26-I26</f>
        <v>0</v>
      </c>
      <c r="K27" s="4">
        <f t="shared" si="14"/>
        <v>0</v>
      </c>
      <c r="L27" s="4">
        <f t="shared" si="14"/>
        <v>3.1078719999999995</v>
      </c>
    </row>
    <row r="31" spans="1:12">
      <c r="I31" s="30"/>
    </row>
    <row r="32" spans="1:12">
      <c r="I32" s="30"/>
    </row>
    <row r="33" spans="9:9">
      <c r="I33" s="30"/>
    </row>
    <row r="34" spans="9:9">
      <c r="I34" s="30"/>
    </row>
    <row r="35" spans="9:9">
      <c r="I35" s="30"/>
    </row>
    <row r="38" spans="9:9">
      <c r="I38" s="30"/>
    </row>
    <row r="39" spans="9:9">
      <c r="I39" s="30"/>
    </row>
    <row r="40" spans="9:9">
      <c r="I40" s="30"/>
    </row>
    <row r="41" spans="9:9">
      <c r="I41" s="30"/>
    </row>
    <row r="42" spans="9:9">
      <c r="I42" s="30"/>
    </row>
    <row r="45" spans="9:9">
      <c r="I45" s="30"/>
    </row>
    <row r="46" spans="9:9">
      <c r="I46" s="30"/>
    </row>
  </sheetData>
  <mergeCells count="2">
    <mergeCell ref="A3:F3"/>
    <mergeCell ref="H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0"/>
  <sheetViews>
    <sheetView workbookViewId="0">
      <selection activeCell="L18" sqref="L18"/>
    </sheetView>
  </sheetViews>
  <sheetFormatPr defaultRowHeight="15"/>
  <cols>
    <col min="1" max="1" width="43.140625" customWidth="1"/>
    <col min="2" max="2" width="15.140625" customWidth="1"/>
    <col min="3" max="3" width="17.7109375" bestFit="1" customWidth="1"/>
    <col min="4" max="4" width="17.28515625" bestFit="1" customWidth="1"/>
    <col min="5" max="5" width="22.85546875" bestFit="1" customWidth="1"/>
    <col min="6" max="6" width="26.7109375" bestFit="1" customWidth="1"/>
    <col min="17" max="17" width="22.7109375" customWidth="1"/>
    <col min="18" max="18" width="11.42578125" customWidth="1"/>
  </cols>
  <sheetData>
    <row r="2" spans="1:18">
      <c r="A2" s="4" t="s">
        <v>230</v>
      </c>
      <c r="B2" s="65"/>
      <c r="C2" s="65"/>
      <c r="P2" s="53" t="s">
        <v>218</v>
      </c>
    </row>
    <row r="3" spans="1:18">
      <c r="A3" s="59" t="s">
        <v>231</v>
      </c>
      <c r="B3" s="59" t="s">
        <v>258</v>
      </c>
      <c r="C3" s="59" t="s">
        <v>259</v>
      </c>
      <c r="D3" s="100" t="s">
        <v>260</v>
      </c>
      <c r="E3" s="100" t="s">
        <v>267</v>
      </c>
      <c r="F3" s="100" t="s">
        <v>261</v>
      </c>
      <c r="H3" t="s">
        <v>262</v>
      </c>
      <c r="P3" s="4"/>
      <c r="Q3" s="4"/>
      <c r="R3" s="4"/>
    </row>
    <row r="4" spans="1:18">
      <c r="A4" s="98" t="s">
        <v>232</v>
      </c>
      <c r="B4" s="98">
        <v>75</v>
      </c>
      <c r="C4" s="98">
        <v>144</v>
      </c>
      <c r="D4" s="55">
        <v>60</v>
      </c>
      <c r="E4" s="101">
        <v>90</v>
      </c>
      <c r="F4" s="101">
        <v>67</v>
      </c>
      <c r="H4" s="140" t="s">
        <v>263</v>
      </c>
      <c r="I4" s="140"/>
      <c r="J4" s="140"/>
      <c r="K4" s="140"/>
      <c r="L4" s="141"/>
      <c r="M4" s="141"/>
      <c r="N4" s="141"/>
      <c r="P4" s="54"/>
      <c r="Q4" s="54"/>
      <c r="R4" s="54"/>
    </row>
    <row r="5" spans="1:18">
      <c r="A5" s="98" t="s">
        <v>266</v>
      </c>
      <c r="B5" s="98">
        <v>0</v>
      </c>
      <c r="C5" s="105">
        <v>0.15</v>
      </c>
      <c r="D5" s="106">
        <v>-0.2</v>
      </c>
      <c r="E5" s="14">
        <v>-0.05</v>
      </c>
      <c r="F5" s="14">
        <v>-0.25</v>
      </c>
      <c r="H5" s="141"/>
      <c r="I5" s="141"/>
      <c r="J5" s="141"/>
      <c r="K5" s="141"/>
      <c r="L5" s="141"/>
      <c r="M5" s="141"/>
      <c r="N5" s="141"/>
      <c r="P5" s="55"/>
      <c r="Q5" s="61"/>
      <c r="R5" s="61"/>
    </row>
    <row r="6" spans="1:18">
      <c r="A6" s="98" t="s">
        <v>234</v>
      </c>
      <c r="B6" s="98">
        <v>0</v>
      </c>
      <c r="C6" s="99">
        <v>0.2</v>
      </c>
      <c r="D6" s="102">
        <v>-0.1</v>
      </c>
      <c r="E6" s="33">
        <v>0.15</v>
      </c>
      <c r="F6" s="33">
        <v>0.2</v>
      </c>
      <c r="H6" s="141"/>
      <c r="I6" s="141"/>
      <c r="J6" s="141"/>
      <c r="K6" s="141"/>
      <c r="L6" s="141"/>
      <c r="M6" s="141"/>
      <c r="N6" s="141"/>
      <c r="P6" s="55"/>
      <c r="Q6" s="61"/>
      <c r="R6" s="61"/>
    </row>
    <row r="7" spans="1:18">
      <c r="A7" s="98" t="s">
        <v>235</v>
      </c>
      <c r="B7" s="98">
        <v>0</v>
      </c>
      <c r="C7" s="98">
        <v>0</v>
      </c>
      <c r="D7" s="55">
        <v>0</v>
      </c>
      <c r="E7" s="101">
        <v>150</v>
      </c>
      <c r="F7" s="101">
        <v>200</v>
      </c>
      <c r="H7" s="141"/>
      <c r="I7" s="141"/>
      <c r="J7" s="141"/>
      <c r="K7" s="141"/>
      <c r="L7" s="141"/>
      <c r="M7" s="141"/>
      <c r="N7" s="141"/>
      <c r="P7" s="55"/>
      <c r="Q7" s="62"/>
      <c r="R7" s="62"/>
    </row>
    <row r="8" spans="1:18">
      <c r="A8" s="98" t="s">
        <v>236</v>
      </c>
      <c r="B8" s="98">
        <v>0</v>
      </c>
      <c r="C8" s="99">
        <v>0.1</v>
      </c>
      <c r="D8" s="55">
        <v>0</v>
      </c>
      <c r="E8" s="33">
        <v>0.3</v>
      </c>
      <c r="F8" s="33">
        <v>0.35</v>
      </c>
      <c r="P8" s="55"/>
      <c r="Q8" s="62"/>
      <c r="R8" s="62"/>
    </row>
    <row r="9" spans="1:18">
      <c r="A9" s="98" t="s">
        <v>237</v>
      </c>
      <c r="B9" s="99">
        <v>0.5</v>
      </c>
      <c r="C9" s="99">
        <v>0.5</v>
      </c>
      <c r="D9" s="102">
        <v>0.5</v>
      </c>
      <c r="E9" s="33">
        <v>0.5</v>
      </c>
      <c r="F9" s="33">
        <v>0.5</v>
      </c>
    </row>
    <row r="10" spans="1:18">
      <c r="A10" s="98"/>
      <c r="B10" s="98"/>
      <c r="C10" s="98"/>
      <c r="D10" s="4"/>
      <c r="E10" s="4"/>
      <c r="F10" s="4"/>
    </row>
    <row r="11" spans="1:18">
      <c r="A11" s="98" t="s">
        <v>238</v>
      </c>
      <c r="B11" s="98"/>
      <c r="C11" s="98"/>
      <c r="D11" s="4"/>
      <c r="E11" s="4"/>
      <c r="F11" s="4"/>
      <c r="H11" t="s">
        <v>268</v>
      </c>
    </row>
    <row r="12" spans="1:18">
      <c r="A12" s="98" t="s">
        <v>239</v>
      </c>
      <c r="B12" s="98"/>
      <c r="C12" s="98"/>
      <c r="D12" s="4"/>
      <c r="E12" s="4"/>
      <c r="F12" s="4"/>
      <c r="H12" s="30"/>
    </row>
    <row r="13" spans="1:18">
      <c r="A13" s="98" t="s">
        <v>240</v>
      </c>
      <c r="B13" s="98"/>
      <c r="C13" s="98"/>
      <c r="D13" s="4"/>
      <c r="E13" s="4"/>
      <c r="F13" s="4"/>
      <c r="H13" s="30" t="s">
        <v>269</v>
      </c>
    </row>
    <row r="14" spans="1:18">
      <c r="A14" s="98" t="s">
        <v>241</v>
      </c>
      <c r="B14" s="98"/>
      <c r="C14" s="98"/>
      <c r="D14" s="4"/>
      <c r="E14" s="4"/>
      <c r="F14" s="4"/>
      <c r="H14" s="30" t="s">
        <v>270</v>
      </c>
    </row>
    <row r="15" spans="1:18">
      <c r="A15" s="98" t="s">
        <v>242</v>
      </c>
      <c r="B15" s="98"/>
      <c r="C15" s="98"/>
      <c r="D15" s="4"/>
      <c r="E15" s="4"/>
      <c r="F15" s="4"/>
      <c r="H15" s="30" t="s">
        <v>271</v>
      </c>
    </row>
    <row r="16" spans="1:18">
      <c r="A16" s="98" t="s">
        <v>243</v>
      </c>
      <c r="B16" s="98"/>
      <c r="C16" s="98"/>
      <c r="D16" s="4"/>
      <c r="E16" s="4"/>
      <c r="F16" s="4"/>
      <c r="H16" s="30" t="s">
        <v>272</v>
      </c>
    </row>
    <row r="17" spans="1:8">
      <c r="A17" s="98" t="s">
        <v>244</v>
      </c>
      <c r="B17" s="98"/>
      <c r="C17" s="98"/>
      <c r="D17" s="4"/>
      <c r="E17" s="4"/>
      <c r="F17" s="4"/>
    </row>
    <row r="18" spans="1:8">
      <c r="A18" s="98" t="s">
        <v>245</v>
      </c>
      <c r="B18" s="98"/>
      <c r="C18" s="98"/>
      <c r="D18" s="4"/>
      <c r="E18" s="4"/>
      <c r="F18" s="4"/>
      <c r="H18" t="s">
        <v>273</v>
      </c>
    </row>
    <row r="19" spans="1:8">
      <c r="A19" s="98" t="s">
        <v>246</v>
      </c>
      <c r="B19" s="98"/>
      <c r="C19" s="98"/>
      <c r="D19" s="4"/>
      <c r="E19" s="4"/>
      <c r="F19" s="4"/>
      <c r="H19" s="30"/>
    </row>
    <row r="20" spans="1:8">
      <c r="A20" s="98" t="s">
        <v>247</v>
      </c>
      <c r="B20" s="98"/>
      <c r="C20" s="98"/>
      <c r="D20" s="4"/>
      <c r="E20" s="4"/>
      <c r="F20" s="4"/>
      <c r="H20" s="30" t="s">
        <v>274</v>
      </c>
    </row>
    <row r="21" spans="1:8">
      <c r="A21" s="98"/>
      <c r="B21" s="98"/>
      <c r="C21" s="98"/>
      <c r="D21" s="4"/>
      <c r="E21" s="4"/>
      <c r="F21" s="4"/>
      <c r="H21" s="30" t="s">
        <v>275</v>
      </c>
    </row>
    <row r="22" spans="1:8">
      <c r="A22" s="98" t="s">
        <v>249</v>
      </c>
      <c r="B22" s="98"/>
      <c r="C22" s="98"/>
      <c r="D22" s="4"/>
      <c r="E22" s="4"/>
      <c r="F22" s="4"/>
      <c r="H22" s="30" t="s">
        <v>276</v>
      </c>
    </row>
    <row r="23" spans="1:8">
      <c r="A23" s="98" t="s">
        <v>248</v>
      </c>
      <c r="B23" s="98"/>
      <c r="C23" s="98"/>
      <c r="D23" s="4"/>
      <c r="E23" s="4"/>
      <c r="F23" s="4"/>
      <c r="H23" s="30" t="s">
        <v>277</v>
      </c>
    </row>
    <row r="24" spans="1:8">
      <c r="A24" s="98" t="s">
        <v>250</v>
      </c>
      <c r="B24" s="98"/>
      <c r="C24" s="98"/>
      <c r="D24" s="4"/>
      <c r="E24" s="4"/>
      <c r="F24" s="4"/>
    </row>
    <row r="25" spans="1:8">
      <c r="A25" s="98" t="s">
        <v>251</v>
      </c>
      <c r="B25" s="98"/>
      <c r="C25" s="98"/>
      <c r="D25" s="4"/>
      <c r="E25" s="4"/>
      <c r="F25" s="4"/>
      <c r="H25" t="s">
        <v>278</v>
      </c>
    </row>
    <row r="26" spans="1:8">
      <c r="A26" t="s">
        <v>252</v>
      </c>
      <c r="H26" s="30"/>
    </row>
    <row r="27" spans="1:8">
      <c r="A27" t="s">
        <v>253</v>
      </c>
      <c r="H27" s="30" t="s">
        <v>279</v>
      </c>
    </row>
    <row r="28" spans="1:8">
      <c r="A28" t="s">
        <v>254</v>
      </c>
    </row>
    <row r="29" spans="1:8">
      <c r="A29" t="s">
        <v>255</v>
      </c>
    </row>
    <row r="30" spans="1:8">
      <c r="B30" t="s">
        <v>256</v>
      </c>
    </row>
  </sheetData>
  <mergeCells count="1">
    <mergeCell ref="H4:N7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Shell </vt:lpstr>
      <vt:lpstr>BP</vt:lpstr>
      <vt:lpstr>Fianncial Analysis </vt:lpstr>
      <vt:lpstr>Risk Scorecard</vt:lpstr>
      <vt:lpstr>ECL</vt:lpstr>
      <vt:lpstr>Ratio Threshold Score Card</vt:lpstr>
      <vt:lpstr>Stress Test</vt:lpstr>
      <vt:lpstr> Stress Test Assump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2026-04-07T17:51:30Z</dcterms:created>
  <dcterms:modified xsi:type="dcterms:W3CDTF">2026-04-17T23:56:10Z</dcterms:modified>
</cp:coreProperties>
</file>